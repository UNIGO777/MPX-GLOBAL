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Controls" sheetId="2" state="visible" r:id="rId4"/>
    <sheet name="Summary" sheetId="3" state="visible" r:id="rId5"/>
  </sheets>
  <definedNames>
    <definedName function="false" hidden="true" localSheetId="1" name="_xlnm._FilterDatabase" vbProcedure="false">Controls!$A$1:$J$59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<sst xmlns="http://schemas.openxmlformats.org/spreadsheetml/2006/main" count="453" uniqueCount="286">
  <si>
    <t xml:space="preserve">MPX Global — Security Implementation Tracker</t>
  </si>
  <si>
    <t xml:space="preserve">Purpose</t>
  </si>
  <si>
    <t xml:space="preserve">Every security control committed to in the MPX Global Rev 02 quotations, in one place. These are contractual deliverables, not suggestions: the quotations list them as included in scope, so a control that is not built is a scope shortfall rather than a defect.</t>
  </si>
  <si>
    <t xml:space="preserve">How to use it</t>
  </si>
  <si>
    <t xml:space="preserve">Work through the Controls sheet as you build. Fill the three yellow columns — Status, Evidence and Verified on. Keep it updated as you go; reconstructing it at the end is far harder than maintaining it.</t>
  </si>
  <si>
    <t xml:space="preserve">Columns you edit</t>
  </si>
  <si>
    <t xml:space="preserve">Status · Evidence (commit, file path or test name) · Verified on (date) · Notes</t>
  </si>
  <si>
    <t xml:space="preserve">Columns to leave</t>
  </si>
  <si>
    <t xml:space="preserve">ID · Category · Control as promised · Promised in · Implementation approach · How to verify</t>
  </si>
  <si>
    <t xml:space="preserve">Status values</t>
  </si>
  <si>
    <t xml:space="preserve">Not started · In progress · Done · N/A</t>
  </si>
  <si>
    <t xml:space="preserve">Example row</t>
  </si>
  <si>
    <t xml:space="preserve">Status: Done | Evidence: src/middleware/rbac.js + tests/rbac.spec.js, commit a1b2c3d | Verified on: 12/08/2026 | Notes: default-deny applied at router level, 3 legacy routes migrated</t>
  </si>
  <si>
    <t xml:space="preserve">Why evidence matters</t>
  </si>
  <si>
    <t xml:space="preserve">If a security question is ever raised — by the Client, a payment aggregator, a penetration tester or an insurer — the question will be "show me", not "tell me". A commit reference or a passing test answers it in seconds. Memory does not.</t>
  </si>
  <si>
    <t xml:space="preserve">Before go-live</t>
  </si>
  <si>
    <t xml:space="preserve">The quotations recommend an independent penetration test engaged by the Client, plus a mobile application security assessment before store submission. Complete this tracker first, then hand it to the tester as the scope baseline.</t>
  </si>
  <si>
    <t xml:space="preserve">Note on cyber insurance</t>
  </si>
  <si>
    <t xml:space="preserve">Insurers now ask for demonstrated security controls and incident response documentation as a condition of cover, not as a recommendation. This sheet is most of that evidence.</t>
  </si>
  <si>
    <t xml:space="preserve">ID</t>
  </si>
  <si>
    <t xml:space="preserve">Category</t>
  </si>
  <si>
    <t xml:space="preserve">Control as promised</t>
  </si>
  <si>
    <t xml:space="preserve">Promised in</t>
  </si>
  <si>
    <t xml:space="preserve">Implementation approach</t>
  </si>
  <si>
    <t xml:space="preserve">How to verify</t>
  </si>
  <si>
    <t xml:space="preserve">Status</t>
  </si>
  <si>
    <t xml:space="preserve">Evidence (commit / file / test)</t>
  </si>
  <si>
    <t xml:space="preserve">Verified on</t>
  </si>
  <si>
    <t xml:space="preserve">Notes</t>
  </si>
  <si>
    <t xml:space="preserve">A1</t>
  </si>
  <si>
    <t xml:space="preserve">A · Authentication &amp; access</t>
  </si>
  <si>
    <t xml:space="preserve">Passwords stored using a modern one-way hashing algorithm — never in plain text or reversible form</t>
  </si>
  <si>
    <t xml:space="preserve">Web quotation, p10</t>
  </si>
  <si>
    <t xml:space="preserve">argon2id (preferred) or bcrypt with cost factor 12+. Hash on the server only. No MD5/SHA-1/SHA-256, no encryption — hashing must be one-way and salted per user.</t>
  </si>
  <si>
    <t xml:space="preserve">Read a user record straight from MongoDB: the password field must be an argon2/bcrypt digest. Confirm no endpoint or log ever returns it.</t>
  </si>
  <si>
    <t xml:space="preserve">Not started</t>
  </si>
  <si>
    <t xml:space="preserve">A2</t>
  </si>
  <si>
    <t xml:space="preserve">JWT with short expiry and refresh-token rotation</t>
  </si>
  <si>
    <t xml:space="preserve">Web p10 · App p6</t>
  </si>
  <si>
    <t xml:space="preserve">Access token 15 min, refresh token 7 days. Rotate the refresh token on every use and store only its hash server-side. On reuse of an already-rotated token, revoke the whole token family.</t>
  </si>
  <si>
    <t xml:space="preserve">Decode a token and check exp. Use a refresh token twice — the second attempt must fail and kill the session family.</t>
  </si>
  <si>
    <t xml:space="preserve">A3</t>
  </si>
  <si>
    <t xml:space="preserve">OTP with expiry, attempt limits and rate limiting</t>
  </si>
  <si>
    <t xml:space="preserve">6 digits, 5-minute expiry, maximum 5 attempts then a 15-minute lock. Store the OTP hashed, never in plain text. Rate limit per mobile, per email and per IP.</t>
  </si>
  <si>
    <t xml:space="preserve">Request 6 OTPs in a row — later requests must be throttled. Enter a wrong OTP 5 times and confirm the lock.</t>
  </si>
  <si>
    <t xml:space="preserve">A4</t>
  </si>
  <si>
    <t xml:space="preserve">Two-factor authentication available on Admin and Super Admin accounts</t>
  </si>
  <si>
    <t xml:space="preserve">TOTP via otplib/speakeasy, enrolled with a QR code. Enforce at login for Admin and Super Admin roles. Issue single-use backup codes stored hashed.</t>
  </si>
  <si>
    <t xml:space="preserve">Log in as Super Admin without a TOTP code — must be refused. Confirm a backup code works once and then fails.</t>
  </si>
  <si>
    <t xml:space="preserve">A5</t>
  </si>
  <si>
    <t xml:space="preserve">Server-side RBAC enforced on every endpoint — permissions are not merely hidden in the interface</t>
  </si>
  <si>
    <t xml:space="preserve">A single permission middleware applied at the router level with default-deny. Every route declares its required permission; a route with no declaration must fail to start the server.</t>
  </si>
  <si>
    <t xml:space="preserve">Call an Admin-only endpoint with a Buyer's valid token — must return 403. Grep the codebase for routes without a permission declaration.</t>
  </si>
  <si>
    <t xml:space="preserve">A6</t>
  </si>
  <si>
    <t xml:space="preserve">Ownership checks on every resource to prevent access to another user's records by ID manipulation</t>
  </si>
  <si>
    <t xml:space="preserve">Never query by _id alone. Every read/write scopes by owner: findOne({_id, ownerId: req.user.orgId}). Applies to deals, quotes, contracts, orders, shipments, documents and payouts.</t>
  </si>
  <si>
    <t xml:space="preserve">Take a valid deal ID belonging to Exporter A and request it as Exporter B — must return 404, not 403 (do not confirm the record exists).</t>
  </si>
  <si>
    <t xml:space="preserve">A7</t>
  </si>
  <si>
    <t xml:space="preserve">Sessions invalidated on password change, role change or deactivation</t>
  </si>
  <si>
    <t xml:space="preserve">Keep a tokenVersion integer on the user document; include it in the JWT and compare on every request. Increment it on password change, role change, deactivation and logout.</t>
  </si>
  <si>
    <t xml:space="preserve">Log in on two devices, change the password on one — the other device's next request must fail.</t>
  </si>
  <si>
    <t xml:space="preserve">A8</t>
  </si>
  <si>
    <t xml:space="preserve">Named user accounts throughout — no shared logins</t>
  </si>
  <si>
    <t xml:space="preserve">Unique email per employee account. No generic shared accounts. Every audit entry records a named user id, never a role.</t>
  </si>
  <si>
    <t xml:space="preserve">Check the employee collection for shared or generic addresses. Confirm each audit row carries a user id.</t>
  </si>
  <si>
    <t xml:space="preserve">B1</t>
  </si>
  <si>
    <t xml:space="preserve">B · Application security</t>
  </si>
  <si>
    <t xml:space="preserve">Schema validation and sanitisation on all incoming data</t>
  </si>
  <si>
    <t xml:space="preserve">Validate every request body, query and param with zod or joi at the route boundary. Strip unknown keys rather than passing them through. Reject on failure before any business logic runs.</t>
  </si>
  <si>
    <t xml:space="preserve">Post an extra unexpected field to a write endpoint — it must not reach the database.</t>
  </si>
  <si>
    <t xml:space="preserve">B2</t>
  </si>
  <si>
    <t xml:space="preserve">Database query sanitisation to prevent injection through user input</t>
  </si>
  <si>
    <t xml:space="preserve">MongoDB operator injection is the real risk here: reject objects where a string is expected, so {"$gt":""} cannot be sent as a password. Use express-mongo-sanitize and never pass req.body straight into a query.</t>
  </si>
  <si>
    <t xml:space="preserve">Attempt a login with the password field set to {"$gt":""} — must be rejected as invalid input.</t>
  </si>
  <si>
    <t xml:space="preserve">B3</t>
  </si>
  <si>
    <t xml:space="preserve">Output encoding and content-security headers to prevent script injection</t>
  </si>
  <si>
    <t xml:space="preserve">helmet with a Content-Security-Policy. React escapes by default — avoid dangerouslySetInnerHTML entirely, and sanitise any rich text with DOMPurify before rendering.</t>
  </si>
  <si>
    <t xml:space="preserve">Save a product name containing a script tag and open the product page — it must render as text.</t>
  </si>
  <si>
    <t xml:space="preserve">B4</t>
  </si>
  <si>
    <t xml:space="preserve">Cross-site request forgery protection</t>
  </si>
  <si>
    <t xml:space="preserve">SameSite=Strict, HttpOnly, Secure cookies. If any state-changing route uses cookie auth, add a CSRF token (csurf or double-submit). Bearer-token-only routes are not exposed to CSRF.</t>
  </si>
  <si>
    <t xml:space="preserve">Submit a state-changing request from a different origin — must be rejected.</t>
  </si>
  <si>
    <t xml:space="preserve">B5</t>
  </si>
  <si>
    <t xml:space="preserve">Secure transport enforced end to end (HTTPS / HSTS) with hardened response headers</t>
  </si>
  <si>
    <t xml:space="preserve">TLS terminated at nginx with a redirect from HTTP. helmet for HSTS (with preload), X-Content-Type-Options, frame-ancestors, Referrer-Policy and Permissions-Policy.</t>
  </si>
  <si>
    <t xml:space="preserve">Run the domain through SSL Labs and securityheaders.com — target A or better on both.</t>
  </si>
  <si>
    <t xml:space="preserve">B6</t>
  </si>
  <si>
    <t xml:space="preserve">File upload validation — type, size and content checks; uploads stored without execution rights</t>
  </si>
  <si>
    <t xml:space="preserve">Allowlist extensions, verify the MIME type against magic bytes (file-type package), cap size. Upload to Cloudinary rather than the app server. Never serve uploads from a directory that can execute.</t>
  </si>
  <si>
    <t xml:space="preserve">Rename a .js file to .jpg and upload it — must be rejected on content inspection, not just extension.</t>
  </si>
  <si>
    <t xml:space="preserve">B7</t>
  </si>
  <si>
    <t xml:space="preserve">Rate limiting on authentication, OTP, search and AI endpoints</t>
  </si>
  <si>
    <t xml:space="preserve">express-rate-limit backed by Redis so limits hold across restarts and multiple processes. Tighter per-account limits on auth and OTP; per-org quota on the AI endpoints to cap GPT spend.</t>
  </si>
  <si>
    <t xml:space="preserve">Script 100 rapid requests at /login and at the AI endpoint — both must start returning 429.</t>
  </si>
  <si>
    <t xml:space="preserve">B8</t>
  </si>
  <si>
    <t xml:space="preserve">Generic error responses — no stack traces or internal detail exposed to users</t>
  </si>
  <si>
    <t xml:space="preserve">One central error handler. Return a generic message plus a request id; log the full detail server-side against that id. Never return a Mongo error verbatim.</t>
  </si>
  <si>
    <t xml:space="preserve">Force a database error in staging — the API response must contain no stack trace, collection name or driver text.</t>
  </si>
  <si>
    <t xml:space="preserve">B9</t>
  </si>
  <si>
    <t xml:space="preserve">Dependency vulnerability scanning during development</t>
  </si>
  <si>
    <t xml:space="preserve">npm audit in CI plus Dependabot or Snyk on the repository. Fail the build on high and critical findings. Re-run before every milestone demo.</t>
  </si>
  <si>
    <t xml:space="preserve">Attach the latest scan output showing zero unresolved high or critical issues.</t>
  </si>
  <si>
    <t xml:space="preserve">C1</t>
  </si>
  <si>
    <t xml:space="preserve">C · Payment &amp; escrow</t>
  </si>
  <si>
    <t xml:space="preserve">Payout beneficiaries registered with the provider and referenced by token, so bank details in the platform database are display-only and cannot redirect a payment</t>
  </si>
  <si>
    <t xml:space="preserve">Register the beneficiary with the gateway and store only the provider's token plus the masked last four digits. Every payout call sends the token, never an account number held by us.</t>
  </si>
  <si>
    <t xml:space="preserve">Change a bank account number directly in MongoDB and trigger a payout — the money must still go to the provider-registered account.</t>
  </si>
  <si>
    <t xml:space="preserve">C2</t>
  </si>
  <si>
    <t xml:space="preserve">Release requires authorisation outside the platform — provider-side payout approval under the Client's control, protected by their own two-factor authentication</t>
  </si>
  <si>
    <t xml:space="preserve">The platform records intent and approval; the actual release is confirmed in the gateway dashboard by the Client's authorised user. No credential we hold can release funds on its own.</t>
  </si>
  <si>
    <t xml:space="preserve">Confirm with the Client that provider-side payout approval and 2FA are switched on, and record the confirmation in writing.</t>
  </si>
  <si>
    <t xml:space="preserve">C3</t>
  </si>
  <si>
    <t xml:space="preserve">Idempotency keys on every payout and release call, preventing duplicate disbursement under repeated or concurrent requests</t>
  </si>
  <si>
    <t xml:space="preserve">Deterministic key per (dealId, milestoneId, attempt). Unique index in MongoDB so a duplicate insert fails, and send the same key as the provider's idempotency header.</t>
  </si>
  <si>
    <t xml:space="preserve">Fire the same release request 10 times concurrently — exactly one payout must be created.</t>
  </si>
  <si>
    <t xml:space="preserve">C4</t>
  </si>
  <si>
    <t xml:space="preserve">Cryptographic signature verification on all payment provider webhooks — forged callbacks are rejected</t>
  </si>
  <si>
    <t xml:space="preserve">Verify the HMAC against the raw body before parsing JSON. Reject unknown event ids and anything outside a 5-minute timestamp window to stop replay.</t>
  </si>
  <si>
    <t xml:space="preserve">Post a webhook with a tampered body and a valid-looking signature — must be rejected and logged.</t>
  </si>
  <si>
    <t xml:space="preserve">C5</t>
  </si>
  <si>
    <t xml:space="preserve">Cooling-off period enforced after any change to a payout account before a release can proceed</t>
  </si>
  <si>
    <t xml:space="preserve">Stamp the account record on change and block any release to it for a fixed window (48 hours suggested). Enforce server-side, not in the UI.</t>
  </si>
  <si>
    <t xml:space="preserve">Change a payout account and immediately attempt a release — must be blocked with the reason shown.</t>
  </si>
  <si>
    <t xml:space="preserve">C6</t>
  </si>
  <si>
    <t xml:space="preserve">Out-of-band alerts on bank account change and on every payout, sent to previously registered contacts</t>
  </si>
  <si>
    <t xml:space="preserve">On change, notify the OLD email and mobile, not the new one. On every payout, notify the exporter and the Client's admin over email, SMS and WhatsApp.</t>
  </si>
  <si>
    <t xml:space="preserve">Change an account and confirm the alert lands on the previous contact details.</t>
  </si>
  <si>
    <t xml:space="preserve">C7</t>
  </si>
  <si>
    <t xml:space="preserve">Beneficiary name verification against registered company records before an account is usable</t>
  </si>
  <si>
    <t xml:space="preserve">Penny-drop through the gateway, then fuzzy-match the returned account holder name against the registered company name. Block the account until it matches or an admin overrides with a logged reason.</t>
  </si>
  <si>
    <t xml:space="preserve">Add an account whose holder name differs from the company name — it must not become usable silently.</t>
  </si>
  <si>
    <t xml:space="preserve">C8</t>
  </si>
  <si>
    <t xml:space="preserve">Maker–checker separation and a distinct approval permission for escrow release</t>
  </si>
  <si>
    <t xml:space="preserve">Web quotation, p7 &amp; p10</t>
  </si>
  <si>
    <t xml:space="preserve">escrow.approve as its own permission, assignable separately from every other employee permission. Code check: raisedBy must not equal approvedBy.</t>
  </si>
  <si>
    <t xml:space="preserve">Raise a release request and try to approve it with the same account — must be refused.</t>
  </si>
  <si>
    <t xml:space="preserve">C9</t>
  </si>
  <si>
    <t xml:space="preserve">Per-transaction and daily release caps</t>
  </si>
  <si>
    <t xml:space="preserve">Configurable caps per exporter and platform-wide, checked server-side before the release call. Anything above the threshold requires mandatory approval regardless of other rules.</t>
  </si>
  <si>
    <t xml:space="preserve">Attempt a release above the cap — must be blocked or forced into the approval queue.</t>
  </si>
  <si>
    <t xml:space="preserve">C10</t>
  </si>
  <si>
    <t xml:space="preserve">Append-only approval and transaction audit trail, written with insert-only database privileges</t>
  </si>
  <si>
    <t xml:space="preserve">Separate audit collection. The application's database user has insert and find only on it — no update, no delete. No API route exists that can modify an audit record.</t>
  </si>
  <si>
    <t xml:space="preserve">Try to update an audit document through the app's own database connection — must be denied by the database, not just the code.</t>
  </si>
  <si>
    <t xml:space="preserve">C11</t>
  </si>
  <si>
    <t xml:space="preserve">Critical audit events mirrored to storage outside the application server</t>
  </si>
  <si>
    <t xml:space="preserve">Stream approvals, payouts and account changes to external storage (S3 or an equivalent) as they happen, so a compromised server cannot erase the record.</t>
  </si>
  <si>
    <t xml:space="preserve">Confirm today's approval events exist in the external store as well as the database.</t>
  </si>
  <si>
    <t xml:space="preserve">C12</t>
  </si>
  <si>
    <t xml:space="preserve">Daily automated reconciliation against the provider ledger with mismatch alerting</t>
  </si>
  <si>
    <t xml:space="preserve">Scheduled job comparing the platform escrow ledger with the provider's settlement report. Any mismatch raises an alert to the Client's admin and is recorded.</t>
  </si>
  <si>
    <t xml:space="preserve">Introduce a deliberate mismatch in staging — the job must flag it the next run.</t>
  </si>
  <si>
    <t xml:space="preserve">D1</t>
  </si>
  <si>
    <t xml:space="preserve">D · Contract &amp; eSign integrity</t>
  </si>
  <si>
    <t xml:space="preserve">Document generated once, then version-locked and hash-sealed — both parties sign the identical artifact</t>
  </si>
  <si>
    <t xml:space="preserve">Web quotation, p8</t>
  </si>
  <si>
    <t xml:space="preserve">Store a SHA-256 of the generated PDF at creation. Verify the hash before presenting for signature and again after signing. Any mismatch blocks the flow.</t>
  </si>
  <si>
    <t xml:space="preserve">Alter a stored contract file byte-for-byte and open it — the system must detect the hash mismatch.</t>
  </si>
  <si>
    <t xml:space="preserve">D2</t>
  </si>
  <si>
    <t xml:space="preserve">Any amendment creates a new version and invalidates prior signatures; all versions retained</t>
  </si>
  <si>
    <t xml:space="preserve">Versioned contract documents. Amending creates v2 and marks v1 superseded; signatures never carry across versions. Nothing is deleted.</t>
  </si>
  <si>
    <t xml:space="preserve">Amend a signed contract — the earlier signatures must show as invalidated and v1 must still be retrievable.</t>
  </si>
  <si>
    <t xml:space="preserve">D3</t>
  </si>
  <si>
    <t xml:space="preserve">Values snapshotted at generation, so later catalogue or price edits cannot alter a signed contract</t>
  </si>
  <si>
    <t xml:space="preserve">The contract stores its own copy of parties, goods, quantity, unit price, currency and total — never a live reference to the catalogue.</t>
  </si>
  <si>
    <t xml:space="preserve">Change the product price after a contract is generated and reopen the contract — the figures must not move.</t>
  </si>
  <si>
    <t xml:space="preserve">D4</t>
  </si>
  <si>
    <t xml:space="preserve">Expired quotations cannot generate a contract</t>
  </si>
  <si>
    <t xml:space="preserve">Server-side validity check at generation time, not a UI-only guard.</t>
  </si>
  <si>
    <t xml:space="preserve">Call the generate endpoint directly with an expired quotation id — must be refused.</t>
  </si>
  <si>
    <t xml:space="preserve">D5</t>
  </si>
  <si>
    <t xml:space="preserve">Signing OTP with expiry and attempt limits; signing links expire and can be re-issued</t>
  </si>
  <si>
    <t xml:space="preserve">Single-use signed token in the link with a short TTL. OTP sent to the registered signatory email only — never to an address supplied in the request.</t>
  </si>
  <si>
    <t xml:space="preserve">Reuse a signing link after signing, and after expiry — both must fail.</t>
  </si>
  <si>
    <t xml:space="preserve">D6</t>
  </si>
  <si>
    <t xml:space="preserve">Audit certificate appended to every executed contract — signatory email, timestamps, IP, verification method and document hash</t>
  </si>
  <si>
    <t xml:space="preserve">Generate the certificate page at completion and merge it into the executed PDF, then re-hash and store the final artifact.</t>
  </si>
  <si>
    <t xml:space="preserve">Open an executed contract and confirm the certificate page carries all five fields.</t>
  </si>
  <si>
    <t xml:space="preserve">D7</t>
  </si>
  <si>
    <t xml:space="preserve">Escrow funding unlocks only after both signatures are captured</t>
  </si>
  <si>
    <t xml:space="preserve">Server-side state check on the funding endpoint. The UI hiding the button is not sufficient.</t>
  </si>
  <si>
    <t xml:space="preserve">Call the funding endpoint directly on a half-signed deal — must be refused.</t>
  </si>
  <si>
    <t xml:space="preserve">E1</t>
  </si>
  <si>
    <t xml:space="preserve">E · Data protection</t>
  </si>
  <si>
    <t xml:space="preserve">Encryption in transit throughout; encryption at rest for sensitive fields including payout details and KYC documents</t>
  </si>
  <si>
    <t xml:space="preserve">Web quotation, p11</t>
  </si>
  <si>
    <t xml:space="preserve">TLS everywhere. Field-level encryption for payout details and KYC identifiers, with the key held outside the database. Cloudinary storage for KYC documents, private mode.</t>
  </si>
  <si>
    <t xml:space="preserve">Read the raw collection — payout and KYC fields must be unreadable without the key.</t>
  </si>
  <si>
    <t xml:space="preserve">E2</t>
  </si>
  <si>
    <t xml:space="preserve">Bank account numbers displayed masked; full reveal is a logged, permissioned action</t>
  </si>
  <si>
    <t xml:space="preserve">Web p11 · App p6</t>
  </si>
  <si>
    <t xml:space="preserve">Masked by default everywhere including the approval screen. Reveal is a separate permissioned endpoint that writes an audit entry naming the user, record and time.</t>
  </si>
  <si>
    <t xml:space="preserve">Reveal an account number and confirm the audit entry appears.</t>
  </si>
  <si>
    <t xml:space="preserve">E3</t>
  </si>
  <si>
    <t xml:space="preserve">Documents stored with signed, expiring access links rather than public URLs</t>
  </si>
  <si>
    <t xml:space="preserve">Cloudinary signed delivery URLs with a short TTL, generated per request after an authorisation check. No document reachable by guessing a URL.</t>
  </si>
  <si>
    <t xml:space="preserve">Copy a document URL, wait past its TTL, and open it in a private window — must fail.</t>
  </si>
  <si>
    <t xml:space="preserve">E4</t>
  </si>
  <si>
    <t xml:space="preserve">Least-privilege database roles — the application cannot modify or delete audit and approval history</t>
  </si>
  <si>
    <t xml:space="preserve">Two database users: the application user without update/delete on audit collections, and a separate maintenance user used only by an administrator.</t>
  </si>
  <si>
    <t xml:space="preserve">Attempt a delete on the audit collection with the application's credentials — must be denied.</t>
  </si>
  <si>
    <t xml:space="preserve">E5</t>
  </si>
  <si>
    <t xml:space="preserve">No production data used in development or testing environments</t>
  </si>
  <si>
    <t xml:space="preserve">Seeded or anonymised fixtures only. No production dump ever restored to staging or a local machine.</t>
  </si>
  <si>
    <t xml:space="preserve">Confirm the staging database contains no real buyer, exporter or KYC records.</t>
  </si>
  <si>
    <t xml:space="preserve">E6</t>
  </si>
  <si>
    <t xml:space="preserve">Credentials and API keys held outside the codebase and never committed to version control</t>
  </si>
  <si>
    <t xml:space="preserve">.env excluded by .gitignore from the first commit. Secrets in the VPS environment or a secret manager. Scan the full git history for anything already leaked, and rotate whatever is found.</t>
  </si>
  <si>
    <t xml:space="preserve">Run gitleaks or trufflehog over the entire history — zero findings, or rotated and documented.</t>
  </si>
  <si>
    <t xml:space="preserve">F1</t>
  </si>
  <si>
    <t xml:space="preserve">F · Infrastructure &amp; operations</t>
  </si>
  <si>
    <t xml:space="preserve">Separate staging and production environments</t>
  </si>
  <si>
    <t xml:space="preserve">Distinct database, distinct API keys, distinct subdomain. Staging is never pointed at live payment credentials.</t>
  </si>
  <si>
    <t xml:space="preserve">Confirm the two environments share no credential and no database.</t>
  </si>
  <si>
    <t xml:space="preserve">F2</t>
  </si>
  <si>
    <t xml:space="preserve">Managed database with network-level access restriction, recommended and configured</t>
  </si>
  <si>
    <t xml:space="preserve">MongoDB Atlas with an IP allowlist limited to the application server, or VPC peering. Never 0.0.0.0/0. Database not reachable from the public internet.</t>
  </si>
  <si>
    <t xml:space="preserve">Attempt a connection from an unlisted IP — must be refused.</t>
  </si>
  <si>
    <t xml:space="preserve">F3</t>
  </si>
  <si>
    <t xml:space="preserve">Database and payment credentials scoped to the application server only</t>
  </si>
  <si>
    <t xml:space="preserve">No developer laptop and no other host holds production credentials. Local development uses its own database.</t>
  </si>
  <si>
    <t xml:space="preserve">Confirm no production secret exists in any local .env or shared document.</t>
  </si>
  <si>
    <t xml:space="preserve">F4</t>
  </si>
  <si>
    <t xml:space="preserve">Automated backup schedule configured, with a documented restore procedure</t>
  </si>
  <si>
    <t xml:space="preserve">Daily automated backups with a defined retention period, stored off the application server. Write the restore runbook and test it once before go-live.</t>
  </si>
  <si>
    <t xml:space="preserve">Perform a real restore into staging from a backup and record the date it was done.</t>
  </si>
  <si>
    <t xml:space="preserve">F5</t>
  </si>
  <si>
    <t xml:space="preserve">Application and access logging with retention and time synchronisation aligned to CERT-In directions</t>
  </si>
  <si>
    <t xml:space="preserve">NTP-synchronised clocks, ISO-8601 timestamps with timezone, and 180-day log retention held within India. Log authentication, authorisation failures, payouts and admin actions.</t>
  </si>
  <si>
    <t xml:space="preserve">Confirm NTP is active, retention is configured, and sample logs carry consistent timestamps.</t>
  </si>
  <si>
    <t xml:space="preserve">F6</t>
  </si>
  <si>
    <t xml:space="preserve">Live payment credentials entered by the Client, not held by NxtGen Digitals</t>
  </si>
  <si>
    <t xml:space="preserve">The Client enters production gateway keys themselves. We work against sandbox keys throughout. Record in writing that live keys were never shared with us.</t>
  </si>
  <si>
    <t xml:space="preserve">Written confirmation from the Client, kept on file.</t>
  </si>
  <si>
    <t xml:space="preserve">F7</t>
  </si>
  <si>
    <t xml:space="preserve">All production credentials transferred and rotated by the Client at handover</t>
  </si>
  <si>
    <t xml:space="preserve">Web quotation, p11 · Annexure A</t>
  </si>
  <si>
    <t xml:space="preserve">Handover checklist covering database, gateway, Cloudinary, WhatsApp BSP, OpenAI, VPS, domain, store accounts and signing keys. Client rotates each one and signs the checklist.</t>
  </si>
  <si>
    <t xml:space="preserve">Signed handover checklist with the rotation date against every item.</t>
  </si>
  <si>
    <t xml:space="preserve">F8</t>
  </si>
  <si>
    <t xml:space="preserve">Post-handover maintenance performed under scoped, least-privilege access, granted for a defined window and rotated afterwards</t>
  </si>
  <si>
    <t xml:space="preserve">No standing production access after handover. Access requested per task, time-boxed, and rotated by the Client when the window closes.</t>
  </si>
  <si>
    <t xml:space="preserve">Access request and revocation recorded for each maintenance visit.</t>
  </si>
  <si>
    <t xml:space="preserve">G1</t>
  </si>
  <si>
    <t xml:space="preserve">G · Mobile app security</t>
  </si>
  <si>
    <t xml:space="preserve">Tokens and credentials stored in the platform secure keystore (Android Keystore / iOS Keychain), never in plain storage</t>
  </si>
  <si>
    <t xml:space="preserve">App quotation, p6</t>
  </si>
  <si>
    <t xml:space="preserve">expo-secure-store for tokens and any credential. Never AsyncStorage, never Redux persisted to disk, never a plain file.</t>
  </si>
  <si>
    <t xml:space="preserve">Inspect app storage on a rooted or jailbroken test device — no token in readable form.</t>
  </si>
  <si>
    <t xml:space="preserve">G2</t>
  </si>
  <si>
    <t xml:space="preserve">Optional biometric / device unlock for app re-entry</t>
  </si>
  <si>
    <t xml:space="preserve">expo-local-authentication, user-toggleable in settings. Biometrics gate re-entry only — never replace server-side authentication.</t>
  </si>
  <si>
    <t xml:space="preserve">Enable it, background the app, reopen — the prompt must appear.</t>
  </si>
  <si>
    <t xml:space="preserve">G3</t>
  </si>
  <si>
    <t xml:space="preserve">No sensitive data written to device logs or crash reports</t>
  </si>
  <si>
    <t xml:space="preserve">Strip tokens, OTPs, bank details and PII before any Sentry or console output. Disable verbose logging in release builds.</t>
  </si>
  <si>
    <t xml:space="preserve">Trigger a crash in a release build and inspect the report for leaked values.</t>
  </si>
  <si>
    <t xml:space="preserve">G4</t>
  </si>
  <si>
    <t xml:space="preserve">Screenshot restriction on contract and payout screens</t>
  </si>
  <si>
    <t xml:space="preserve">FLAG_SECURE on Android for those screens; an overlay or blur on iOS when the app enters the background.</t>
  </si>
  <si>
    <t xml:space="preserve">Attempt a screenshot on the contract screen on both platforms.</t>
  </si>
  <si>
    <t xml:space="preserve">G5</t>
  </si>
  <si>
    <t xml:space="preserve">Secure transport enforced end to end (HTTPS)</t>
  </si>
  <si>
    <t xml:space="preserve">No cleartext traffic: App Transport Security on iOS, network security config on Android. Consider certificate pinning for payment-related calls.</t>
  </si>
  <si>
    <t xml:space="preserve">Run the app through an intercepting proxy — traffic must fail rather than fall back to plain HTTP.</t>
  </si>
  <si>
    <t xml:space="preserve">G6</t>
  </si>
  <si>
    <t xml:space="preserve">Role-based access enforced on the server for every request — the app never decides its own permissions</t>
  </si>
  <si>
    <t xml:space="preserve">The app renders from server-supplied permissions but every endpoint re-checks. Never trust a role claim held in app state.</t>
  </si>
  <si>
    <t xml:space="preserve">Patch the app build to claim the exporter role as a buyer account — the server must still refuse.</t>
  </si>
  <si>
    <t xml:space="preserve">G7</t>
  </si>
  <si>
    <t xml:space="preserve">No payment release capability exists in the app; approval is a web-only function under the Client's control</t>
  </si>
  <si>
    <t xml:space="preserve">No release or approval endpoint is reachable with a mobile client token. Enforce server-side by client type, not by hiding the screen.</t>
  </si>
  <si>
    <t xml:space="preserve">Call the release endpoint with a mobile token — must be refused.</t>
  </si>
  <si>
    <t xml:space="preserve">G8</t>
  </si>
  <si>
    <t xml:space="preserve">Payout account changes made from the app follow the same verification, cooling-off and alerting rules as the web platform</t>
  </si>
  <si>
    <t xml:space="preserve">The same server-side rules apply regardless of the client. There is no mobile-specific shortcut.</t>
  </si>
  <si>
    <t xml:space="preserve">Change a payout account from the app and confirm cooling-off and the out-of-band alert both fire.</t>
  </si>
  <si>
    <t xml:space="preserve">Security control coverage</t>
  </si>
  <si>
    <t xml:space="preserve">Counts update automatically from the Controls sheet.</t>
  </si>
  <si>
    <t xml:space="preserve">Total</t>
  </si>
  <si>
    <t xml:space="preserve">Done</t>
  </si>
  <si>
    <t xml:space="preserve">In progress</t>
  </si>
  <si>
    <t xml:space="preserve">N/A</t>
  </si>
  <si>
    <t xml:space="preserve">% complete</t>
  </si>
  <si>
    <t xml:space="preserve">TOTAL</t>
  </si>
  <si>
    <t xml:space="preserve">Every control listed is committed to in the Rev 02 quotations (web pages 10–11 and 7–8, app page 6). Nothing here is optional scope.</t>
  </si>
</sst>
</file>

<file path=xl/styles.xml><?xml version="1.0" encoding="utf-8"?>
<styleSheet xmlns="http://schemas.openxmlformats.org/spreadsheetml/2006/main">
  <numFmts count="4">
    <numFmt numFmtId="164" formatCode="General"/>
    <numFmt numFmtId="165" formatCode="dd/mm/yyyy"/>
    <numFmt numFmtId="166" formatCode="General"/>
    <numFmt numFmtId="167" formatCode="0%"/>
  </numFmts>
  <fonts count="14">
    <font>
      <sz val="11"/>
      <color theme="1"/>
      <name val="Calibri"/>
      <family val="2"/>
      <charset val="1"/>
    </font>
    <font>
      <sz val="10"/>
      <name val="Arial"/>
      <family val="0"/>
    </font>
    <font>
      <sz val="10"/>
      <name val="Arial"/>
      <family val="0"/>
    </font>
    <font>
      <sz val="10"/>
      <name val="Arial"/>
      <family val="0"/>
    </font>
    <font>
      <b val="true"/>
      <sz val="15"/>
      <color rgb="FF0C1526"/>
      <name val="Arial"/>
      <family val="0"/>
      <charset val="1"/>
    </font>
    <font>
      <sz val="10"/>
      <color rgb="FF2C3648"/>
      <name val="Arial"/>
      <family val="0"/>
      <charset val="1"/>
    </font>
    <font>
      <b val="true"/>
      <sz val="10"/>
      <color rgb="FF0C1526"/>
      <name val="Arial"/>
      <family val="0"/>
      <charset val="1"/>
    </font>
    <font>
      <b val="true"/>
      <sz val="10"/>
      <color rgb="FFB0812C"/>
      <name val="Arial"/>
      <family val="0"/>
      <charset val="1"/>
    </font>
    <font>
      <b val="true"/>
      <sz val="9"/>
      <color rgb="FFFFFFFF"/>
      <name val="Arial"/>
      <family val="0"/>
      <charset val="1"/>
    </font>
    <font>
      <b val="true"/>
      <sz val="9"/>
      <color rgb="FFB0812C"/>
      <name val="Arial"/>
      <family val="0"/>
      <charset val="1"/>
    </font>
    <font>
      <b val="true"/>
      <sz val="9"/>
      <color rgb="FF0C1526"/>
      <name val="Arial"/>
      <family val="0"/>
      <charset val="1"/>
    </font>
    <font>
      <sz val="9"/>
      <color rgb="FF2C3648"/>
      <name val="Arial"/>
      <family val="0"/>
      <charset val="1"/>
    </font>
    <font>
      <sz val="9"/>
      <color rgb="FF6B7689"/>
      <name val="Arial"/>
      <family val="0"/>
      <charset val="1"/>
    </font>
    <font>
      <i val="true"/>
      <sz val="9"/>
      <color rgb="FF6B7689"/>
      <name val="Arial"/>
      <family val="0"/>
      <charset val="1"/>
    </font>
  </fonts>
  <fills count="5">
    <fill>
      <patternFill patternType="none"/>
    </fill>
    <fill>
      <patternFill patternType="gray125"/>
    </fill>
    <fill>
      <patternFill patternType="solid">
        <fgColor rgb="FF0C1526"/>
        <bgColor rgb="FF000000"/>
      </patternFill>
    </fill>
    <fill>
      <patternFill patternType="solid">
        <fgColor rgb="FFF1EDE3"/>
        <bgColor rgb="FFFFF9E6"/>
      </patternFill>
    </fill>
    <fill>
      <patternFill patternType="solid">
        <fgColor rgb="FFFFF9E6"/>
        <bgColor rgb="FFFFFFFF"/>
      </patternFill>
    </fill>
  </fills>
  <borders count="2">
    <border diagonalUp="false" diagonalDown="false">
      <left/>
      <right/>
      <top/>
      <bottom/>
      <diagonal/>
    </border>
    <border diagonalUp="false" diagonalDown="false">
      <left style="thin">
        <color rgb="FFD5DAE3"/>
      </left>
      <right style="thin">
        <color rgb="FFD5DAE3"/>
      </right>
      <top style="thin">
        <color rgb="FFD5DAE3"/>
      </top>
      <bottom style="thin">
        <color rgb="FFD5DAE3"/>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2" borderId="1" xfId="0" applyFont="true" applyBorder="true" applyAlignment="true" applyProtection="false">
      <alignment horizontal="left" vertical="center" textRotation="0" wrapText="true" indent="0" shrinkToFit="false"/>
      <protection locked="true" hidden="false"/>
    </xf>
    <xf numFmtId="164" fontId="9" fillId="0" borderId="1" xfId="0" applyFont="true" applyBorder="true" applyAlignment="true" applyProtection="false">
      <alignment horizontal="center"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1" fillId="4" borderId="1" xfId="0" applyFont="true" applyBorder="true" applyAlignment="true" applyProtection="false">
      <alignment horizontal="general" vertical="top" textRotation="0" wrapText="true" indent="0" shrinkToFit="false"/>
      <protection locked="true" hidden="false"/>
    </xf>
    <xf numFmtId="165" fontId="11" fillId="4" borderId="1"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true" applyProtection="false">
      <alignment horizontal="center" vertical="bottom" textRotation="0" wrapText="false" indent="0" shrinkToFit="false"/>
      <protection locked="true" hidden="false"/>
    </xf>
    <xf numFmtId="167" fontId="11" fillId="0" borderId="1" xfId="0" applyFont="true" applyBorder="true" applyAlignment="true" applyProtection="false">
      <alignment horizontal="center" vertical="bottom" textRotation="0" wrapText="fals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6" fontId="6" fillId="3" borderId="1" xfId="0" applyFont="true" applyBorder="true" applyAlignment="true" applyProtection="false">
      <alignment horizontal="center" vertical="bottom" textRotation="0" wrapText="false" indent="0" shrinkToFit="false"/>
      <protection locked="true" hidden="false"/>
    </xf>
    <xf numFmtId="167" fontId="6" fillId="3" borderId="1" xfId="0" applyFont="true" applyBorder="true" applyAlignment="true" applyProtection="false">
      <alignment horizontal="center"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0C1526"/>
          <bgColor rgb="FF000000"/>
        </patternFill>
      </fill>
    </dxf>
    <dxf>
      <fill>
        <patternFill patternType="solid">
          <bgColor rgb="FF000000"/>
        </patternFill>
      </fill>
    </dxf>
    <dxf>
      <fill>
        <patternFill patternType="solid">
          <fgColor rgb="FFB0812C"/>
          <bgColor rgb="FF000000"/>
        </patternFill>
      </fill>
    </dxf>
    <dxf>
      <fill>
        <patternFill patternType="solid">
          <fgColor rgb="FFFFFFFF"/>
          <bgColor rgb="FF000000"/>
        </patternFill>
      </fill>
    </dxf>
    <dxf>
      <fill>
        <patternFill patternType="solid">
          <fgColor rgb="FFF1EDE3"/>
          <bgColor rgb="FF000000"/>
        </patternFill>
      </fill>
    </dxf>
    <dxf>
      <fill>
        <patternFill patternType="solid">
          <fgColor rgb="FF2C3648"/>
          <bgColor rgb="FF000000"/>
        </patternFill>
      </fill>
    </dxf>
    <dxf>
      <fill>
        <patternFill patternType="solid">
          <fgColor rgb="FFFFF9E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0812C"/>
      <rgbColor rgb="FF800080"/>
      <rgbColor rgb="FF008080"/>
      <rgbColor rgb="FFC0C0C0"/>
      <rgbColor rgb="FF808080"/>
      <rgbColor rgb="FF9999FF"/>
      <rgbColor rgb="FF993366"/>
      <rgbColor rgb="FFFFF9E6"/>
      <rgbColor rgb="FFCCFFFF"/>
      <rgbColor rgb="FF660066"/>
      <rgbColor rgb="FFFF8080"/>
      <rgbColor rgb="FF0066CC"/>
      <rgbColor rgb="FFD5DAE3"/>
      <rgbColor rgb="FF000080"/>
      <rgbColor rgb="FFFF00FF"/>
      <rgbColor rgb="FFFFFF00"/>
      <rgbColor rgb="FF00FFFF"/>
      <rgbColor rgb="FF800080"/>
      <rgbColor rgb="FF800000"/>
      <rgbColor rgb="FF008080"/>
      <rgbColor rgb="FF0000FF"/>
      <rgbColor rgb="FF00CCFF"/>
      <rgbColor rgb="FFCCFFFF"/>
      <rgbColor rgb="FFF1EDE3"/>
      <rgbColor rgb="FFFFFF99"/>
      <rgbColor rgb="FF99CCFF"/>
      <rgbColor rgb="FFFF99CC"/>
      <rgbColor rgb="FFCC99FF"/>
      <rgbColor rgb="FFFFCC99"/>
      <rgbColor rgb="FF3366FF"/>
      <rgbColor rgb="FF33CCCC"/>
      <rgbColor rgb="FF99CC00"/>
      <rgbColor rgb="FFFFCC00"/>
      <rgbColor rgb="FFFF9900"/>
      <rgbColor rgb="FFFF6600"/>
      <rgbColor rgb="FF6B7689"/>
      <rgbColor rgb="FF969696"/>
      <rgbColor rgb="FF003366"/>
      <rgbColor rgb="FF339966"/>
      <rgbColor rgb="FF0C1526"/>
      <rgbColor rgb="FF333300"/>
      <rgbColor rgb="FF993300"/>
      <rgbColor rgb="FF993366"/>
      <rgbColor rgb="FF333399"/>
      <rgbColor rgb="FF2C364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04"/>
  </cols>
  <sheetData>
    <row r="1" customFormat="false" ht="18.55" hidden="false" customHeight="false" outlineLevel="0" collapsed="false">
      <c r="A1" s="1" t="s">
        <v>0</v>
      </c>
      <c r="B1" s="2"/>
    </row>
    <row r="2" customFormat="false" ht="15" hidden="false" customHeight="false" outlineLevel="0" collapsed="false">
      <c r="A2" s="3"/>
      <c r="B2" s="2"/>
    </row>
    <row r="3" customFormat="false" ht="45.75" hidden="false" customHeight="true" outlineLevel="0" collapsed="false">
      <c r="A3" s="4" t="s">
        <v>1</v>
      </c>
      <c r="B3" s="2" t="s">
        <v>2</v>
      </c>
    </row>
    <row r="4" customFormat="false" ht="15" hidden="false" customHeight="false" outlineLevel="0" collapsed="false">
      <c r="A4" s="3"/>
      <c r="B4" s="2"/>
    </row>
    <row r="5" customFormat="false" ht="45.75" hidden="false" customHeight="true" outlineLevel="0" collapsed="false">
      <c r="A5" s="3" t="s">
        <v>3</v>
      </c>
      <c r="B5" s="2" t="s">
        <v>4</v>
      </c>
    </row>
    <row r="6" customFormat="false" ht="15" hidden="false" customHeight="false" outlineLevel="0" collapsed="false">
      <c r="A6" s="3"/>
      <c r="B6" s="2"/>
    </row>
    <row r="7" customFormat="false" ht="15" hidden="false" customHeight="false" outlineLevel="0" collapsed="false">
      <c r="A7" s="3" t="s">
        <v>5</v>
      </c>
      <c r="B7" s="2" t="s">
        <v>6</v>
      </c>
    </row>
    <row r="8" customFormat="false" ht="15" hidden="false" customHeight="false" outlineLevel="0" collapsed="false">
      <c r="A8" s="3" t="s">
        <v>7</v>
      </c>
      <c r="B8" s="2" t="s">
        <v>8</v>
      </c>
    </row>
    <row r="9" customFormat="false" ht="15" hidden="false" customHeight="false" outlineLevel="0" collapsed="false">
      <c r="A9" s="3"/>
      <c r="B9" s="2"/>
    </row>
    <row r="10" customFormat="false" ht="15" hidden="false" customHeight="false" outlineLevel="0" collapsed="false">
      <c r="A10" s="3" t="s">
        <v>9</v>
      </c>
      <c r="B10" s="2" t="s">
        <v>10</v>
      </c>
    </row>
    <row r="11" customFormat="false" ht="15" hidden="false" customHeight="false" outlineLevel="0" collapsed="false">
      <c r="A11" s="3"/>
      <c r="B11" s="2"/>
    </row>
    <row r="12" customFormat="false" ht="23.85" hidden="false" customHeight="false" outlineLevel="0" collapsed="false">
      <c r="A12" s="3" t="s">
        <v>11</v>
      </c>
      <c r="B12" s="2" t="s">
        <v>12</v>
      </c>
    </row>
    <row r="13" customFormat="false" ht="15" hidden="false" customHeight="false" outlineLevel="0" collapsed="false">
      <c r="A13" s="3"/>
      <c r="B13" s="2"/>
    </row>
    <row r="14" customFormat="false" ht="45.75" hidden="false" customHeight="true" outlineLevel="0" collapsed="false">
      <c r="A14" s="3" t="s">
        <v>13</v>
      </c>
      <c r="B14" s="2" t="s">
        <v>14</v>
      </c>
    </row>
    <row r="15" customFormat="false" ht="15" hidden="false" customHeight="false" outlineLevel="0" collapsed="false">
      <c r="A15" s="3"/>
      <c r="B15" s="2"/>
    </row>
    <row r="16" customFormat="false" ht="45.75" hidden="false" customHeight="true" outlineLevel="0" collapsed="false">
      <c r="A16" s="3" t="s">
        <v>15</v>
      </c>
      <c r="B16" s="2" t="s">
        <v>16</v>
      </c>
    </row>
    <row r="17" customFormat="false" ht="15" hidden="false" customHeight="false" outlineLevel="0" collapsed="false">
      <c r="A17" s="3"/>
      <c r="B17" s="2"/>
    </row>
    <row r="18" customFormat="false" ht="45.75" hidden="false" customHeight="true" outlineLevel="0" collapsed="false">
      <c r="A18" s="3" t="s">
        <v>17</v>
      </c>
      <c r="B18" s="2" t="s">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6"/>
    <col collapsed="false" customWidth="true" hidden="false" outlineLevel="0" max="3" min="3" style="0" width="52"/>
    <col collapsed="false" customWidth="true" hidden="false" outlineLevel="0" max="4" min="4" style="0" width="20"/>
    <col collapsed="false" customWidth="true" hidden="false" outlineLevel="0" max="5" min="5" style="0" width="62"/>
    <col collapsed="false" customWidth="true" hidden="false" outlineLevel="0" max="6" min="6" style="0" width="46"/>
    <col collapsed="false" customWidth="true" hidden="false" outlineLevel="0" max="7" min="7" style="0" width="14"/>
    <col collapsed="false" customWidth="true" hidden="false" outlineLevel="0" max="8" min="8" style="0" width="32"/>
    <col collapsed="false" customWidth="true" hidden="false" outlineLevel="0" max="9" min="9" style="0" width="13"/>
    <col collapsed="false" customWidth="true" hidden="false" outlineLevel="0" max="10" min="10" style="0" width="28"/>
  </cols>
  <sheetData>
    <row r="1" customFormat="false" ht="30" hidden="false" customHeight="true" outlineLevel="0" collapsed="false">
      <c r="A1" s="5" t="s">
        <v>19</v>
      </c>
      <c r="B1" s="5" t="s">
        <v>20</v>
      </c>
      <c r="C1" s="5" t="s">
        <v>21</v>
      </c>
      <c r="D1" s="5" t="s">
        <v>22</v>
      </c>
      <c r="E1" s="5" t="s">
        <v>23</v>
      </c>
      <c r="F1" s="5" t="s">
        <v>24</v>
      </c>
      <c r="G1" s="5" t="s">
        <v>25</v>
      </c>
      <c r="H1" s="5" t="s">
        <v>26</v>
      </c>
      <c r="I1" s="5" t="s">
        <v>27</v>
      </c>
      <c r="J1" s="5" t="s">
        <v>28</v>
      </c>
    </row>
    <row r="2" customFormat="false" ht="73.5" hidden="false" customHeight="true" outlineLevel="0" collapsed="false">
      <c r="A2" s="6" t="s">
        <v>29</v>
      </c>
      <c r="B2" s="7" t="s">
        <v>30</v>
      </c>
      <c r="C2" s="8" t="s">
        <v>31</v>
      </c>
      <c r="D2" s="9" t="s">
        <v>32</v>
      </c>
      <c r="E2" s="9" t="s">
        <v>33</v>
      </c>
      <c r="F2" s="9" t="s">
        <v>34</v>
      </c>
      <c r="G2" s="10" t="s">
        <v>35</v>
      </c>
      <c r="H2" s="10"/>
      <c r="I2" s="11"/>
      <c r="J2" s="10"/>
    </row>
    <row r="3" customFormat="false" ht="73.5" hidden="false" customHeight="true" outlineLevel="0" collapsed="false">
      <c r="A3" s="6" t="s">
        <v>36</v>
      </c>
      <c r="B3" s="7" t="s">
        <v>30</v>
      </c>
      <c r="C3" s="8" t="s">
        <v>37</v>
      </c>
      <c r="D3" s="9" t="s">
        <v>38</v>
      </c>
      <c r="E3" s="9" t="s">
        <v>39</v>
      </c>
      <c r="F3" s="9" t="s">
        <v>40</v>
      </c>
      <c r="G3" s="10" t="s">
        <v>35</v>
      </c>
      <c r="H3" s="10"/>
      <c r="I3" s="11"/>
      <c r="J3" s="10"/>
    </row>
    <row r="4" customFormat="false" ht="73.5" hidden="false" customHeight="true" outlineLevel="0" collapsed="false">
      <c r="A4" s="6" t="s">
        <v>41</v>
      </c>
      <c r="B4" s="7" t="s">
        <v>30</v>
      </c>
      <c r="C4" s="8" t="s">
        <v>42</v>
      </c>
      <c r="D4" s="9" t="s">
        <v>38</v>
      </c>
      <c r="E4" s="9" t="s">
        <v>43</v>
      </c>
      <c r="F4" s="9" t="s">
        <v>44</v>
      </c>
      <c r="G4" s="10" t="s">
        <v>35</v>
      </c>
      <c r="H4" s="10"/>
      <c r="I4" s="11"/>
      <c r="J4" s="10"/>
    </row>
    <row r="5" customFormat="false" ht="73.5" hidden="false" customHeight="true" outlineLevel="0" collapsed="false">
      <c r="A5" s="6" t="s">
        <v>45</v>
      </c>
      <c r="B5" s="7" t="s">
        <v>30</v>
      </c>
      <c r="C5" s="8" t="s">
        <v>46</v>
      </c>
      <c r="D5" s="9" t="s">
        <v>32</v>
      </c>
      <c r="E5" s="9" t="s">
        <v>47</v>
      </c>
      <c r="F5" s="9" t="s">
        <v>48</v>
      </c>
      <c r="G5" s="10" t="s">
        <v>35</v>
      </c>
      <c r="H5" s="10"/>
      <c r="I5" s="11"/>
      <c r="J5" s="10"/>
    </row>
    <row r="6" customFormat="false" ht="73.5" hidden="false" customHeight="true" outlineLevel="0" collapsed="false">
      <c r="A6" s="6" t="s">
        <v>49</v>
      </c>
      <c r="B6" s="7" t="s">
        <v>30</v>
      </c>
      <c r="C6" s="8" t="s">
        <v>50</v>
      </c>
      <c r="D6" s="9" t="s">
        <v>38</v>
      </c>
      <c r="E6" s="9" t="s">
        <v>51</v>
      </c>
      <c r="F6" s="9" t="s">
        <v>52</v>
      </c>
      <c r="G6" s="10" t="s">
        <v>35</v>
      </c>
      <c r="H6" s="10"/>
      <c r="I6" s="11"/>
      <c r="J6" s="10"/>
    </row>
    <row r="7" customFormat="false" ht="73.5" hidden="false" customHeight="true" outlineLevel="0" collapsed="false">
      <c r="A7" s="6" t="s">
        <v>53</v>
      </c>
      <c r="B7" s="7" t="s">
        <v>30</v>
      </c>
      <c r="C7" s="8" t="s">
        <v>54</v>
      </c>
      <c r="D7" s="9" t="s">
        <v>38</v>
      </c>
      <c r="E7" s="9" t="s">
        <v>55</v>
      </c>
      <c r="F7" s="9" t="s">
        <v>56</v>
      </c>
      <c r="G7" s="10" t="s">
        <v>35</v>
      </c>
      <c r="H7" s="10"/>
      <c r="I7" s="11"/>
      <c r="J7" s="10"/>
    </row>
    <row r="8" customFormat="false" ht="73.5" hidden="false" customHeight="true" outlineLevel="0" collapsed="false">
      <c r="A8" s="6" t="s">
        <v>57</v>
      </c>
      <c r="B8" s="7" t="s">
        <v>30</v>
      </c>
      <c r="C8" s="8" t="s">
        <v>58</v>
      </c>
      <c r="D8" s="9" t="s">
        <v>38</v>
      </c>
      <c r="E8" s="9" t="s">
        <v>59</v>
      </c>
      <c r="F8" s="9" t="s">
        <v>60</v>
      </c>
      <c r="G8" s="10" t="s">
        <v>35</v>
      </c>
      <c r="H8" s="10"/>
      <c r="I8" s="11"/>
      <c r="J8" s="10"/>
    </row>
    <row r="9" customFormat="false" ht="73.5" hidden="false" customHeight="true" outlineLevel="0" collapsed="false">
      <c r="A9" s="6" t="s">
        <v>61</v>
      </c>
      <c r="B9" s="7" t="s">
        <v>30</v>
      </c>
      <c r="C9" s="8" t="s">
        <v>62</v>
      </c>
      <c r="D9" s="9" t="s">
        <v>32</v>
      </c>
      <c r="E9" s="9" t="s">
        <v>63</v>
      </c>
      <c r="F9" s="9" t="s">
        <v>64</v>
      </c>
      <c r="G9" s="10" t="s">
        <v>35</v>
      </c>
      <c r="H9" s="10"/>
      <c r="I9" s="11"/>
      <c r="J9" s="10"/>
    </row>
    <row r="10" customFormat="false" ht="73.5" hidden="false" customHeight="true" outlineLevel="0" collapsed="false">
      <c r="A10" s="6" t="s">
        <v>65</v>
      </c>
      <c r="B10" s="7" t="s">
        <v>66</v>
      </c>
      <c r="C10" s="8" t="s">
        <v>67</v>
      </c>
      <c r="D10" s="9" t="s">
        <v>38</v>
      </c>
      <c r="E10" s="9" t="s">
        <v>68</v>
      </c>
      <c r="F10" s="9" t="s">
        <v>69</v>
      </c>
      <c r="G10" s="10" t="s">
        <v>35</v>
      </c>
      <c r="H10" s="10"/>
      <c r="I10" s="11"/>
      <c r="J10" s="10"/>
    </row>
    <row r="11" customFormat="false" ht="73.5" hidden="false" customHeight="true" outlineLevel="0" collapsed="false">
      <c r="A11" s="6" t="s">
        <v>70</v>
      </c>
      <c r="B11" s="7" t="s">
        <v>66</v>
      </c>
      <c r="C11" s="8" t="s">
        <v>71</v>
      </c>
      <c r="D11" s="9" t="s">
        <v>32</v>
      </c>
      <c r="E11" s="9" t="s">
        <v>72</v>
      </c>
      <c r="F11" s="9" t="s">
        <v>73</v>
      </c>
      <c r="G11" s="10" t="s">
        <v>35</v>
      </c>
      <c r="H11" s="10"/>
      <c r="I11" s="11"/>
      <c r="J11" s="10"/>
    </row>
    <row r="12" customFormat="false" ht="73.5" hidden="false" customHeight="true" outlineLevel="0" collapsed="false">
      <c r="A12" s="6" t="s">
        <v>74</v>
      </c>
      <c r="B12" s="7" t="s">
        <v>66</v>
      </c>
      <c r="C12" s="8" t="s">
        <v>75</v>
      </c>
      <c r="D12" s="9" t="s">
        <v>32</v>
      </c>
      <c r="E12" s="9" t="s">
        <v>76</v>
      </c>
      <c r="F12" s="9" t="s">
        <v>77</v>
      </c>
      <c r="G12" s="10" t="s">
        <v>35</v>
      </c>
      <c r="H12" s="10"/>
      <c r="I12" s="11"/>
      <c r="J12" s="10"/>
    </row>
    <row r="13" customFormat="false" ht="73.5" hidden="false" customHeight="true" outlineLevel="0" collapsed="false">
      <c r="A13" s="6" t="s">
        <v>78</v>
      </c>
      <c r="B13" s="7" t="s">
        <v>66</v>
      </c>
      <c r="C13" s="8" t="s">
        <v>79</v>
      </c>
      <c r="D13" s="9" t="s">
        <v>32</v>
      </c>
      <c r="E13" s="9" t="s">
        <v>80</v>
      </c>
      <c r="F13" s="9" t="s">
        <v>81</v>
      </c>
      <c r="G13" s="10" t="s">
        <v>35</v>
      </c>
      <c r="H13" s="10"/>
      <c r="I13" s="11"/>
      <c r="J13" s="10"/>
    </row>
    <row r="14" customFormat="false" ht="73.5" hidden="false" customHeight="true" outlineLevel="0" collapsed="false">
      <c r="A14" s="6" t="s">
        <v>82</v>
      </c>
      <c r="B14" s="7" t="s">
        <v>66</v>
      </c>
      <c r="C14" s="8" t="s">
        <v>83</v>
      </c>
      <c r="D14" s="9" t="s">
        <v>38</v>
      </c>
      <c r="E14" s="9" t="s">
        <v>84</v>
      </c>
      <c r="F14" s="9" t="s">
        <v>85</v>
      </c>
      <c r="G14" s="10" t="s">
        <v>35</v>
      </c>
      <c r="H14" s="10"/>
      <c r="I14" s="11"/>
      <c r="J14" s="10"/>
    </row>
    <row r="15" customFormat="false" ht="73.5" hidden="false" customHeight="true" outlineLevel="0" collapsed="false">
      <c r="A15" s="6" t="s">
        <v>86</v>
      </c>
      <c r="B15" s="7" t="s">
        <v>66</v>
      </c>
      <c r="C15" s="8" t="s">
        <v>87</v>
      </c>
      <c r="D15" s="9" t="s">
        <v>38</v>
      </c>
      <c r="E15" s="9" t="s">
        <v>88</v>
      </c>
      <c r="F15" s="9" t="s">
        <v>89</v>
      </c>
      <c r="G15" s="10" t="s">
        <v>35</v>
      </c>
      <c r="H15" s="10"/>
      <c r="I15" s="11"/>
      <c r="J15" s="10"/>
    </row>
    <row r="16" customFormat="false" ht="73.5" hidden="false" customHeight="true" outlineLevel="0" collapsed="false">
      <c r="A16" s="6" t="s">
        <v>90</v>
      </c>
      <c r="B16" s="7" t="s">
        <v>66</v>
      </c>
      <c r="C16" s="8" t="s">
        <v>91</v>
      </c>
      <c r="D16" s="9" t="s">
        <v>38</v>
      </c>
      <c r="E16" s="9" t="s">
        <v>92</v>
      </c>
      <c r="F16" s="9" t="s">
        <v>93</v>
      </c>
      <c r="G16" s="10" t="s">
        <v>35</v>
      </c>
      <c r="H16" s="10"/>
      <c r="I16" s="11"/>
      <c r="J16" s="10"/>
    </row>
    <row r="17" customFormat="false" ht="73.5" hidden="false" customHeight="true" outlineLevel="0" collapsed="false">
      <c r="A17" s="6" t="s">
        <v>94</v>
      </c>
      <c r="B17" s="7" t="s">
        <v>66</v>
      </c>
      <c r="C17" s="8" t="s">
        <v>95</v>
      </c>
      <c r="D17" s="9" t="s">
        <v>38</v>
      </c>
      <c r="E17" s="9" t="s">
        <v>96</v>
      </c>
      <c r="F17" s="9" t="s">
        <v>97</v>
      </c>
      <c r="G17" s="10" t="s">
        <v>35</v>
      </c>
      <c r="H17" s="10"/>
      <c r="I17" s="11"/>
      <c r="J17" s="10"/>
    </row>
    <row r="18" customFormat="false" ht="73.5" hidden="false" customHeight="true" outlineLevel="0" collapsed="false">
      <c r="A18" s="6" t="s">
        <v>98</v>
      </c>
      <c r="B18" s="7" t="s">
        <v>66</v>
      </c>
      <c r="C18" s="8" t="s">
        <v>99</v>
      </c>
      <c r="D18" s="9" t="s">
        <v>32</v>
      </c>
      <c r="E18" s="9" t="s">
        <v>100</v>
      </c>
      <c r="F18" s="9" t="s">
        <v>101</v>
      </c>
      <c r="G18" s="10" t="s">
        <v>35</v>
      </c>
      <c r="H18" s="10"/>
      <c r="I18" s="11"/>
      <c r="J18" s="10"/>
    </row>
    <row r="19" customFormat="false" ht="73.5" hidden="false" customHeight="true" outlineLevel="0" collapsed="false">
      <c r="A19" s="6" t="s">
        <v>102</v>
      </c>
      <c r="B19" s="7" t="s">
        <v>103</v>
      </c>
      <c r="C19" s="8" t="s">
        <v>104</v>
      </c>
      <c r="D19" s="9" t="s">
        <v>32</v>
      </c>
      <c r="E19" s="9" t="s">
        <v>105</v>
      </c>
      <c r="F19" s="9" t="s">
        <v>106</v>
      </c>
      <c r="G19" s="10" t="s">
        <v>35</v>
      </c>
      <c r="H19" s="10"/>
      <c r="I19" s="11"/>
      <c r="J19" s="10"/>
    </row>
    <row r="20" customFormat="false" ht="73.5" hidden="false" customHeight="true" outlineLevel="0" collapsed="false">
      <c r="A20" s="6" t="s">
        <v>107</v>
      </c>
      <c r="B20" s="7" t="s">
        <v>103</v>
      </c>
      <c r="C20" s="8" t="s">
        <v>108</v>
      </c>
      <c r="D20" s="9" t="s">
        <v>32</v>
      </c>
      <c r="E20" s="9" t="s">
        <v>109</v>
      </c>
      <c r="F20" s="9" t="s">
        <v>110</v>
      </c>
      <c r="G20" s="10" t="s">
        <v>35</v>
      </c>
      <c r="H20" s="10"/>
      <c r="I20" s="11"/>
      <c r="J20" s="10"/>
    </row>
    <row r="21" customFormat="false" ht="73.5" hidden="false" customHeight="true" outlineLevel="0" collapsed="false">
      <c r="A21" s="6" t="s">
        <v>111</v>
      </c>
      <c r="B21" s="7" t="s">
        <v>103</v>
      </c>
      <c r="C21" s="8" t="s">
        <v>112</v>
      </c>
      <c r="D21" s="9" t="s">
        <v>32</v>
      </c>
      <c r="E21" s="9" t="s">
        <v>113</v>
      </c>
      <c r="F21" s="9" t="s">
        <v>114</v>
      </c>
      <c r="G21" s="10" t="s">
        <v>35</v>
      </c>
      <c r="H21" s="10"/>
      <c r="I21" s="11"/>
      <c r="J21" s="10"/>
    </row>
    <row r="22" customFormat="false" ht="73.5" hidden="false" customHeight="true" outlineLevel="0" collapsed="false">
      <c r="A22" s="6" t="s">
        <v>115</v>
      </c>
      <c r="B22" s="7" t="s">
        <v>103</v>
      </c>
      <c r="C22" s="8" t="s">
        <v>116</v>
      </c>
      <c r="D22" s="9" t="s">
        <v>32</v>
      </c>
      <c r="E22" s="9" t="s">
        <v>117</v>
      </c>
      <c r="F22" s="9" t="s">
        <v>118</v>
      </c>
      <c r="G22" s="10" t="s">
        <v>35</v>
      </c>
      <c r="H22" s="10"/>
      <c r="I22" s="11"/>
      <c r="J22" s="10"/>
    </row>
    <row r="23" customFormat="false" ht="73.5" hidden="false" customHeight="true" outlineLevel="0" collapsed="false">
      <c r="A23" s="6" t="s">
        <v>119</v>
      </c>
      <c r="B23" s="7" t="s">
        <v>103</v>
      </c>
      <c r="C23" s="8" t="s">
        <v>120</v>
      </c>
      <c r="D23" s="9" t="s">
        <v>38</v>
      </c>
      <c r="E23" s="9" t="s">
        <v>121</v>
      </c>
      <c r="F23" s="9" t="s">
        <v>122</v>
      </c>
      <c r="G23" s="10" t="s">
        <v>35</v>
      </c>
      <c r="H23" s="10"/>
      <c r="I23" s="11"/>
      <c r="J23" s="10"/>
    </row>
    <row r="24" customFormat="false" ht="73.5" hidden="false" customHeight="true" outlineLevel="0" collapsed="false">
      <c r="A24" s="6" t="s">
        <v>123</v>
      </c>
      <c r="B24" s="7" t="s">
        <v>103</v>
      </c>
      <c r="C24" s="8" t="s">
        <v>124</v>
      </c>
      <c r="D24" s="9" t="s">
        <v>32</v>
      </c>
      <c r="E24" s="9" t="s">
        <v>125</v>
      </c>
      <c r="F24" s="9" t="s">
        <v>126</v>
      </c>
      <c r="G24" s="10" t="s">
        <v>35</v>
      </c>
      <c r="H24" s="10"/>
      <c r="I24" s="11"/>
      <c r="J24" s="10"/>
    </row>
    <row r="25" customFormat="false" ht="73.5" hidden="false" customHeight="true" outlineLevel="0" collapsed="false">
      <c r="A25" s="6" t="s">
        <v>127</v>
      </c>
      <c r="B25" s="7" t="s">
        <v>103</v>
      </c>
      <c r="C25" s="8" t="s">
        <v>128</v>
      </c>
      <c r="D25" s="9" t="s">
        <v>32</v>
      </c>
      <c r="E25" s="9" t="s">
        <v>129</v>
      </c>
      <c r="F25" s="9" t="s">
        <v>130</v>
      </c>
      <c r="G25" s="10" t="s">
        <v>35</v>
      </c>
      <c r="H25" s="10"/>
      <c r="I25" s="11"/>
      <c r="J25" s="10"/>
    </row>
    <row r="26" customFormat="false" ht="73.5" hidden="false" customHeight="true" outlineLevel="0" collapsed="false">
      <c r="A26" s="6" t="s">
        <v>131</v>
      </c>
      <c r="B26" s="7" t="s">
        <v>103</v>
      </c>
      <c r="C26" s="8" t="s">
        <v>132</v>
      </c>
      <c r="D26" s="9" t="s">
        <v>133</v>
      </c>
      <c r="E26" s="9" t="s">
        <v>134</v>
      </c>
      <c r="F26" s="9" t="s">
        <v>135</v>
      </c>
      <c r="G26" s="10" t="s">
        <v>35</v>
      </c>
      <c r="H26" s="10"/>
      <c r="I26" s="11"/>
      <c r="J26" s="10"/>
    </row>
    <row r="27" customFormat="false" ht="73.5" hidden="false" customHeight="true" outlineLevel="0" collapsed="false">
      <c r="A27" s="6" t="s">
        <v>136</v>
      </c>
      <c r="B27" s="7" t="s">
        <v>103</v>
      </c>
      <c r="C27" s="8" t="s">
        <v>137</v>
      </c>
      <c r="D27" s="9" t="s">
        <v>32</v>
      </c>
      <c r="E27" s="9" t="s">
        <v>138</v>
      </c>
      <c r="F27" s="9" t="s">
        <v>139</v>
      </c>
      <c r="G27" s="10" t="s">
        <v>35</v>
      </c>
      <c r="H27" s="10"/>
      <c r="I27" s="11"/>
      <c r="J27" s="10"/>
    </row>
    <row r="28" customFormat="false" ht="73.5" hidden="false" customHeight="true" outlineLevel="0" collapsed="false">
      <c r="A28" s="6" t="s">
        <v>140</v>
      </c>
      <c r="B28" s="7" t="s">
        <v>103</v>
      </c>
      <c r="C28" s="8" t="s">
        <v>141</v>
      </c>
      <c r="D28" s="9" t="s">
        <v>32</v>
      </c>
      <c r="E28" s="9" t="s">
        <v>142</v>
      </c>
      <c r="F28" s="9" t="s">
        <v>143</v>
      </c>
      <c r="G28" s="10" t="s">
        <v>35</v>
      </c>
      <c r="H28" s="10"/>
      <c r="I28" s="11"/>
      <c r="J28" s="10"/>
    </row>
    <row r="29" customFormat="false" ht="73.5" hidden="false" customHeight="true" outlineLevel="0" collapsed="false">
      <c r="A29" s="6" t="s">
        <v>144</v>
      </c>
      <c r="B29" s="7" t="s">
        <v>103</v>
      </c>
      <c r="C29" s="8" t="s">
        <v>145</v>
      </c>
      <c r="D29" s="9" t="s">
        <v>32</v>
      </c>
      <c r="E29" s="9" t="s">
        <v>146</v>
      </c>
      <c r="F29" s="9" t="s">
        <v>147</v>
      </c>
      <c r="G29" s="10" t="s">
        <v>35</v>
      </c>
      <c r="H29" s="10"/>
      <c r="I29" s="11"/>
      <c r="J29" s="10"/>
    </row>
    <row r="30" customFormat="false" ht="73.5" hidden="false" customHeight="true" outlineLevel="0" collapsed="false">
      <c r="A30" s="6" t="s">
        <v>148</v>
      </c>
      <c r="B30" s="7" t="s">
        <v>103</v>
      </c>
      <c r="C30" s="8" t="s">
        <v>149</v>
      </c>
      <c r="D30" s="9" t="s">
        <v>133</v>
      </c>
      <c r="E30" s="9" t="s">
        <v>150</v>
      </c>
      <c r="F30" s="9" t="s">
        <v>151</v>
      </c>
      <c r="G30" s="10" t="s">
        <v>35</v>
      </c>
      <c r="H30" s="10"/>
      <c r="I30" s="11"/>
      <c r="J30" s="10"/>
    </row>
    <row r="31" customFormat="false" ht="73.5" hidden="false" customHeight="true" outlineLevel="0" collapsed="false">
      <c r="A31" s="6" t="s">
        <v>152</v>
      </c>
      <c r="B31" s="7" t="s">
        <v>153</v>
      </c>
      <c r="C31" s="8" t="s">
        <v>154</v>
      </c>
      <c r="D31" s="9" t="s">
        <v>155</v>
      </c>
      <c r="E31" s="9" t="s">
        <v>156</v>
      </c>
      <c r="F31" s="9" t="s">
        <v>157</v>
      </c>
      <c r="G31" s="10" t="s">
        <v>35</v>
      </c>
      <c r="H31" s="10"/>
      <c r="I31" s="11"/>
      <c r="J31" s="10"/>
    </row>
    <row r="32" customFormat="false" ht="73.5" hidden="false" customHeight="true" outlineLevel="0" collapsed="false">
      <c r="A32" s="6" t="s">
        <v>158</v>
      </c>
      <c r="B32" s="7" t="s">
        <v>153</v>
      </c>
      <c r="C32" s="8" t="s">
        <v>159</v>
      </c>
      <c r="D32" s="9" t="s">
        <v>155</v>
      </c>
      <c r="E32" s="9" t="s">
        <v>160</v>
      </c>
      <c r="F32" s="9" t="s">
        <v>161</v>
      </c>
      <c r="G32" s="10" t="s">
        <v>35</v>
      </c>
      <c r="H32" s="10"/>
      <c r="I32" s="11"/>
      <c r="J32" s="10"/>
    </row>
    <row r="33" customFormat="false" ht="73.5" hidden="false" customHeight="true" outlineLevel="0" collapsed="false">
      <c r="A33" s="6" t="s">
        <v>162</v>
      </c>
      <c r="B33" s="7" t="s">
        <v>153</v>
      </c>
      <c r="C33" s="8" t="s">
        <v>163</v>
      </c>
      <c r="D33" s="9" t="s">
        <v>155</v>
      </c>
      <c r="E33" s="9" t="s">
        <v>164</v>
      </c>
      <c r="F33" s="9" t="s">
        <v>165</v>
      </c>
      <c r="G33" s="10" t="s">
        <v>35</v>
      </c>
      <c r="H33" s="10"/>
      <c r="I33" s="11"/>
      <c r="J33" s="10"/>
    </row>
    <row r="34" customFormat="false" ht="73.5" hidden="false" customHeight="true" outlineLevel="0" collapsed="false">
      <c r="A34" s="6" t="s">
        <v>166</v>
      </c>
      <c r="B34" s="7" t="s">
        <v>153</v>
      </c>
      <c r="C34" s="8" t="s">
        <v>167</v>
      </c>
      <c r="D34" s="9" t="s">
        <v>155</v>
      </c>
      <c r="E34" s="9" t="s">
        <v>168</v>
      </c>
      <c r="F34" s="9" t="s">
        <v>169</v>
      </c>
      <c r="G34" s="10" t="s">
        <v>35</v>
      </c>
      <c r="H34" s="10"/>
      <c r="I34" s="11"/>
      <c r="J34" s="10"/>
    </row>
    <row r="35" customFormat="false" ht="73.5" hidden="false" customHeight="true" outlineLevel="0" collapsed="false">
      <c r="A35" s="6" t="s">
        <v>170</v>
      </c>
      <c r="B35" s="7" t="s">
        <v>153</v>
      </c>
      <c r="C35" s="8" t="s">
        <v>171</v>
      </c>
      <c r="D35" s="9" t="s">
        <v>155</v>
      </c>
      <c r="E35" s="9" t="s">
        <v>172</v>
      </c>
      <c r="F35" s="9" t="s">
        <v>173</v>
      </c>
      <c r="G35" s="10" t="s">
        <v>35</v>
      </c>
      <c r="H35" s="10"/>
      <c r="I35" s="11"/>
      <c r="J35" s="10"/>
    </row>
    <row r="36" customFormat="false" ht="73.5" hidden="false" customHeight="true" outlineLevel="0" collapsed="false">
      <c r="A36" s="6" t="s">
        <v>174</v>
      </c>
      <c r="B36" s="7" t="s">
        <v>153</v>
      </c>
      <c r="C36" s="8" t="s">
        <v>175</v>
      </c>
      <c r="D36" s="9" t="s">
        <v>155</v>
      </c>
      <c r="E36" s="9" t="s">
        <v>176</v>
      </c>
      <c r="F36" s="9" t="s">
        <v>177</v>
      </c>
      <c r="G36" s="10" t="s">
        <v>35</v>
      </c>
      <c r="H36" s="10"/>
      <c r="I36" s="11"/>
      <c r="J36" s="10"/>
    </row>
    <row r="37" customFormat="false" ht="73.5" hidden="false" customHeight="true" outlineLevel="0" collapsed="false">
      <c r="A37" s="6" t="s">
        <v>178</v>
      </c>
      <c r="B37" s="7" t="s">
        <v>153</v>
      </c>
      <c r="C37" s="8" t="s">
        <v>179</v>
      </c>
      <c r="D37" s="9" t="s">
        <v>155</v>
      </c>
      <c r="E37" s="9" t="s">
        <v>180</v>
      </c>
      <c r="F37" s="9" t="s">
        <v>181</v>
      </c>
      <c r="G37" s="10" t="s">
        <v>35</v>
      </c>
      <c r="H37" s="10"/>
      <c r="I37" s="11"/>
      <c r="J37" s="10"/>
    </row>
    <row r="38" customFormat="false" ht="73.5" hidden="false" customHeight="true" outlineLevel="0" collapsed="false">
      <c r="A38" s="6" t="s">
        <v>182</v>
      </c>
      <c r="B38" s="7" t="s">
        <v>183</v>
      </c>
      <c r="C38" s="8" t="s">
        <v>184</v>
      </c>
      <c r="D38" s="9" t="s">
        <v>185</v>
      </c>
      <c r="E38" s="9" t="s">
        <v>186</v>
      </c>
      <c r="F38" s="9" t="s">
        <v>187</v>
      </c>
      <c r="G38" s="10" t="s">
        <v>35</v>
      </c>
      <c r="H38" s="10"/>
      <c r="I38" s="11"/>
      <c r="J38" s="10"/>
    </row>
    <row r="39" customFormat="false" ht="73.5" hidden="false" customHeight="true" outlineLevel="0" collapsed="false">
      <c r="A39" s="6" t="s">
        <v>188</v>
      </c>
      <c r="B39" s="7" t="s">
        <v>183</v>
      </c>
      <c r="C39" s="8" t="s">
        <v>189</v>
      </c>
      <c r="D39" s="9" t="s">
        <v>190</v>
      </c>
      <c r="E39" s="9" t="s">
        <v>191</v>
      </c>
      <c r="F39" s="9" t="s">
        <v>192</v>
      </c>
      <c r="G39" s="10" t="s">
        <v>35</v>
      </c>
      <c r="H39" s="10"/>
      <c r="I39" s="11"/>
      <c r="J39" s="10"/>
    </row>
    <row r="40" customFormat="false" ht="73.5" hidden="false" customHeight="true" outlineLevel="0" collapsed="false">
      <c r="A40" s="6" t="s">
        <v>193</v>
      </c>
      <c r="B40" s="7" t="s">
        <v>183</v>
      </c>
      <c r="C40" s="8" t="s">
        <v>194</v>
      </c>
      <c r="D40" s="9" t="s">
        <v>185</v>
      </c>
      <c r="E40" s="9" t="s">
        <v>195</v>
      </c>
      <c r="F40" s="9" t="s">
        <v>196</v>
      </c>
      <c r="G40" s="10" t="s">
        <v>35</v>
      </c>
      <c r="H40" s="10"/>
      <c r="I40" s="11"/>
      <c r="J40" s="10"/>
    </row>
    <row r="41" customFormat="false" ht="73.5" hidden="false" customHeight="true" outlineLevel="0" collapsed="false">
      <c r="A41" s="6" t="s">
        <v>197</v>
      </c>
      <c r="B41" s="7" t="s">
        <v>183</v>
      </c>
      <c r="C41" s="8" t="s">
        <v>198</v>
      </c>
      <c r="D41" s="9" t="s">
        <v>185</v>
      </c>
      <c r="E41" s="9" t="s">
        <v>199</v>
      </c>
      <c r="F41" s="9" t="s">
        <v>200</v>
      </c>
      <c r="G41" s="10" t="s">
        <v>35</v>
      </c>
      <c r="H41" s="10"/>
      <c r="I41" s="11"/>
      <c r="J41" s="10"/>
    </row>
    <row r="42" customFormat="false" ht="73.5" hidden="false" customHeight="true" outlineLevel="0" collapsed="false">
      <c r="A42" s="6" t="s">
        <v>201</v>
      </c>
      <c r="B42" s="7" t="s">
        <v>183</v>
      </c>
      <c r="C42" s="8" t="s">
        <v>202</v>
      </c>
      <c r="D42" s="9" t="s">
        <v>185</v>
      </c>
      <c r="E42" s="9" t="s">
        <v>203</v>
      </c>
      <c r="F42" s="9" t="s">
        <v>204</v>
      </c>
      <c r="G42" s="10" t="s">
        <v>35</v>
      </c>
      <c r="H42" s="10"/>
      <c r="I42" s="11"/>
      <c r="J42" s="10"/>
    </row>
    <row r="43" customFormat="false" ht="73.5" hidden="false" customHeight="true" outlineLevel="0" collapsed="false">
      <c r="A43" s="6" t="s">
        <v>205</v>
      </c>
      <c r="B43" s="7" t="s">
        <v>183</v>
      </c>
      <c r="C43" s="8" t="s">
        <v>206</v>
      </c>
      <c r="D43" s="9" t="s">
        <v>185</v>
      </c>
      <c r="E43" s="9" t="s">
        <v>207</v>
      </c>
      <c r="F43" s="9" t="s">
        <v>208</v>
      </c>
      <c r="G43" s="10" t="s">
        <v>35</v>
      </c>
      <c r="H43" s="10"/>
      <c r="I43" s="11"/>
      <c r="J43" s="10"/>
    </row>
    <row r="44" customFormat="false" ht="73.5" hidden="false" customHeight="true" outlineLevel="0" collapsed="false">
      <c r="A44" s="6" t="s">
        <v>209</v>
      </c>
      <c r="B44" s="7" t="s">
        <v>210</v>
      </c>
      <c r="C44" s="8" t="s">
        <v>211</v>
      </c>
      <c r="D44" s="9" t="s">
        <v>185</v>
      </c>
      <c r="E44" s="9" t="s">
        <v>212</v>
      </c>
      <c r="F44" s="9" t="s">
        <v>213</v>
      </c>
      <c r="G44" s="10" t="s">
        <v>35</v>
      </c>
      <c r="H44" s="10"/>
      <c r="I44" s="11"/>
      <c r="J44" s="10"/>
    </row>
    <row r="45" customFormat="false" ht="73.5" hidden="false" customHeight="true" outlineLevel="0" collapsed="false">
      <c r="A45" s="6" t="s">
        <v>214</v>
      </c>
      <c r="B45" s="7" t="s">
        <v>210</v>
      </c>
      <c r="C45" s="8" t="s">
        <v>215</v>
      </c>
      <c r="D45" s="9" t="s">
        <v>185</v>
      </c>
      <c r="E45" s="9" t="s">
        <v>216</v>
      </c>
      <c r="F45" s="9" t="s">
        <v>217</v>
      </c>
      <c r="G45" s="10" t="s">
        <v>35</v>
      </c>
      <c r="H45" s="10"/>
      <c r="I45" s="11"/>
      <c r="J45" s="10"/>
    </row>
    <row r="46" customFormat="false" ht="73.5" hidden="false" customHeight="true" outlineLevel="0" collapsed="false">
      <c r="A46" s="6" t="s">
        <v>218</v>
      </c>
      <c r="B46" s="7" t="s">
        <v>210</v>
      </c>
      <c r="C46" s="8" t="s">
        <v>219</v>
      </c>
      <c r="D46" s="9" t="s">
        <v>185</v>
      </c>
      <c r="E46" s="9" t="s">
        <v>220</v>
      </c>
      <c r="F46" s="9" t="s">
        <v>221</v>
      </c>
      <c r="G46" s="10" t="s">
        <v>35</v>
      </c>
      <c r="H46" s="10"/>
      <c r="I46" s="11"/>
      <c r="J46" s="10"/>
    </row>
    <row r="47" customFormat="false" ht="73.5" hidden="false" customHeight="true" outlineLevel="0" collapsed="false">
      <c r="A47" s="6" t="s">
        <v>222</v>
      </c>
      <c r="B47" s="7" t="s">
        <v>210</v>
      </c>
      <c r="C47" s="8" t="s">
        <v>223</v>
      </c>
      <c r="D47" s="9" t="s">
        <v>185</v>
      </c>
      <c r="E47" s="9" t="s">
        <v>224</v>
      </c>
      <c r="F47" s="9" t="s">
        <v>225</v>
      </c>
      <c r="G47" s="10" t="s">
        <v>35</v>
      </c>
      <c r="H47" s="10"/>
      <c r="I47" s="11"/>
      <c r="J47" s="10"/>
    </row>
    <row r="48" customFormat="false" ht="73.5" hidden="false" customHeight="true" outlineLevel="0" collapsed="false">
      <c r="A48" s="6" t="s">
        <v>226</v>
      </c>
      <c r="B48" s="7" t="s">
        <v>210</v>
      </c>
      <c r="C48" s="8" t="s">
        <v>227</v>
      </c>
      <c r="D48" s="9" t="s">
        <v>185</v>
      </c>
      <c r="E48" s="9" t="s">
        <v>228</v>
      </c>
      <c r="F48" s="9" t="s">
        <v>229</v>
      </c>
      <c r="G48" s="10" t="s">
        <v>35</v>
      </c>
      <c r="H48" s="10"/>
      <c r="I48" s="11"/>
      <c r="J48" s="10"/>
    </row>
    <row r="49" customFormat="false" ht="73.5" hidden="false" customHeight="true" outlineLevel="0" collapsed="false">
      <c r="A49" s="6" t="s">
        <v>230</v>
      </c>
      <c r="B49" s="7" t="s">
        <v>210</v>
      </c>
      <c r="C49" s="8" t="s">
        <v>231</v>
      </c>
      <c r="D49" s="9" t="s">
        <v>185</v>
      </c>
      <c r="E49" s="9" t="s">
        <v>232</v>
      </c>
      <c r="F49" s="9" t="s">
        <v>233</v>
      </c>
      <c r="G49" s="10" t="s">
        <v>35</v>
      </c>
      <c r="H49" s="10"/>
      <c r="I49" s="11"/>
      <c r="J49" s="10"/>
    </row>
    <row r="50" customFormat="false" ht="73.5" hidden="false" customHeight="true" outlineLevel="0" collapsed="false">
      <c r="A50" s="6" t="s">
        <v>234</v>
      </c>
      <c r="B50" s="7" t="s">
        <v>210</v>
      </c>
      <c r="C50" s="8" t="s">
        <v>235</v>
      </c>
      <c r="D50" s="9" t="s">
        <v>236</v>
      </c>
      <c r="E50" s="9" t="s">
        <v>237</v>
      </c>
      <c r="F50" s="9" t="s">
        <v>238</v>
      </c>
      <c r="G50" s="10" t="s">
        <v>35</v>
      </c>
      <c r="H50" s="10"/>
      <c r="I50" s="11"/>
      <c r="J50" s="10"/>
    </row>
    <row r="51" customFormat="false" ht="73.5" hidden="false" customHeight="true" outlineLevel="0" collapsed="false">
      <c r="A51" s="6" t="s">
        <v>239</v>
      </c>
      <c r="B51" s="7" t="s">
        <v>210</v>
      </c>
      <c r="C51" s="8" t="s">
        <v>240</v>
      </c>
      <c r="D51" s="9" t="s">
        <v>185</v>
      </c>
      <c r="E51" s="9" t="s">
        <v>241</v>
      </c>
      <c r="F51" s="9" t="s">
        <v>242</v>
      </c>
      <c r="G51" s="10" t="s">
        <v>35</v>
      </c>
      <c r="H51" s="10"/>
      <c r="I51" s="11"/>
      <c r="J51" s="10"/>
    </row>
    <row r="52" customFormat="false" ht="73.5" hidden="false" customHeight="true" outlineLevel="0" collapsed="false">
      <c r="A52" s="6" t="s">
        <v>243</v>
      </c>
      <c r="B52" s="7" t="s">
        <v>244</v>
      </c>
      <c r="C52" s="8" t="s">
        <v>245</v>
      </c>
      <c r="D52" s="9" t="s">
        <v>246</v>
      </c>
      <c r="E52" s="9" t="s">
        <v>247</v>
      </c>
      <c r="F52" s="9" t="s">
        <v>248</v>
      </c>
      <c r="G52" s="10" t="s">
        <v>35</v>
      </c>
      <c r="H52" s="10"/>
      <c r="I52" s="11"/>
      <c r="J52" s="10"/>
    </row>
    <row r="53" customFormat="false" ht="73.5" hidden="false" customHeight="true" outlineLevel="0" collapsed="false">
      <c r="A53" s="6" t="s">
        <v>249</v>
      </c>
      <c r="B53" s="7" t="s">
        <v>244</v>
      </c>
      <c r="C53" s="8" t="s">
        <v>250</v>
      </c>
      <c r="D53" s="9" t="s">
        <v>246</v>
      </c>
      <c r="E53" s="9" t="s">
        <v>251</v>
      </c>
      <c r="F53" s="9" t="s">
        <v>252</v>
      </c>
      <c r="G53" s="10" t="s">
        <v>35</v>
      </c>
      <c r="H53" s="10"/>
      <c r="I53" s="11"/>
      <c r="J53" s="10"/>
    </row>
    <row r="54" customFormat="false" ht="73.5" hidden="false" customHeight="true" outlineLevel="0" collapsed="false">
      <c r="A54" s="6" t="s">
        <v>253</v>
      </c>
      <c r="B54" s="7" t="s">
        <v>244</v>
      </c>
      <c r="C54" s="8" t="s">
        <v>254</v>
      </c>
      <c r="D54" s="9" t="s">
        <v>246</v>
      </c>
      <c r="E54" s="9" t="s">
        <v>255</v>
      </c>
      <c r="F54" s="9" t="s">
        <v>256</v>
      </c>
      <c r="G54" s="10" t="s">
        <v>35</v>
      </c>
      <c r="H54" s="10"/>
      <c r="I54" s="11"/>
      <c r="J54" s="10"/>
    </row>
    <row r="55" customFormat="false" ht="73.5" hidden="false" customHeight="true" outlineLevel="0" collapsed="false">
      <c r="A55" s="6" t="s">
        <v>257</v>
      </c>
      <c r="B55" s="7" t="s">
        <v>244</v>
      </c>
      <c r="C55" s="8" t="s">
        <v>258</v>
      </c>
      <c r="D55" s="9" t="s">
        <v>246</v>
      </c>
      <c r="E55" s="9" t="s">
        <v>259</v>
      </c>
      <c r="F55" s="9" t="s">
        <v>260</v>
      </c>
      <c r="G55" s="10" t="s">
        <v>35</v>
      </c>
      <c r="H55" s="10"/>
      <c r="I55" s="11"/>
      <c r="J55" s="10"/>
    </row>
    <row r="56" customFormat="false" ht="73.5" hidden="false" customHeight="true" outlineLevel="0" collapsed="false">
      <c r="A56" s="6" t="s">
        <v>261</v>
      </c>
      <c r="B56" s="7" t="s">
        <v>244</v>
      </c>
      <c r="C56" s="8" t="s">
        <v>262</v>
      </c>
      <c r="D56" s="9" t="s">
        <v>246</v>
      </c>
      <c r="E56" s="9" t="s">
        <v>263</v>
      </c>
      <c r="F56" s="9" t="s">
        <v>264</v>
      </c>
      <c r="G56" s="10" t="s">
        <v>35</v>
      </c>
      <c r="H56" s="10"/>
      <c r="I56" s="11"/>
      <c r="J56" s="10"/>
    </row>
    <row r="57" customFormat="false" ht="73.5" hidden="false" customHeight="true" outlineLevel="0" collapsed="false">
      <c r="A57" s="6" t="s">
        <v>265</v>
      </c>
      <c r="B57" s="7" t="s">
        <v>244</v>
      </c>
      <c r="C57" s="8" t="s">
        <v>266</v>
      </c>
      <c r="D57" s="9" t="s">
        <v>246</v>
      </c>
      <c r="E57" s="9" t="s">
        <v>267</v>
      </c>
      <c r="F57" s="9" t="s">
        <v>268</v>
      </c>
      <c r="G57" s="10" t="s">
        <v>35</v>
      </c>
      <c r="H57" s="10"/>
      <c r="I57" s="11"/>
      <c r="J57" s="10"/>
    </row>
    <row r="58" customFormat="false" ht="73.5" hidden="false" customHeight="true" outlineLevel="0" collapsed="false">
      <c r="A58" s="6" t="s">
        <v>269</v>
      </c>
      <c r="B58" s="7" t="s">
        <v>244</v>
      </c>
      <c r="C58" s="8" t="s">
        <v>270</v>
      </c>
      <c r="D58" s="9" t="s">
        <v>246</v>
      </c>
      <c r="E58" s="9" t="s">
        <v>271</v>
      </c>
      <c r="F58" s="9" t="s">
        <v>272</v>
      </c>
      <c r="G58" s="10" t="s">
        <v>35</v>
      </c>
      <c r="H58" s="10"/>
      <c r="I58" s="11"/>
      <c r="J58" s="10"/>
    </row>
    <row r="59" customFormat="false" ht="73.5" hidden="false" customHeight="true" outlineLevel="0" collapsed="false">
      <c r="A59" s="6" t="s">
        <v>273</v>
      </c>
      <c r="B59" s="7" t="s">
        <v>244</v>
      </c>
      <c r="C59" s="8" t="s">
        <v>274</v>
      </c>
      <c r="D59" s="9" t="s">
        <v>246</v>
      </c>
      <c r="E59" s="9" t="s">
        <v>275</v>
      </c>
      <c r="F59" s="9" t="s">
        <v>276</v>
      </c>
      <c r="G59" s="10" t="s">
        <v>35</v>
      </c>
      <c r="H59" s="10"/>
      <c r="I59" s="11"/>
      <c r="J59" s="10"/>
    </row>
  </sheetData>
  <autoFilter ref="A1:J59"/>
  <dataValidations count="1">
    <dataValidation allowBlank="false" errorStyle="stop" operator="between" showDropDown="false" showErrorMessage="false" showInputMessage="false" sqref="G2:G59" type="list">
      <formula1>"Not started,In progress,Done,N/A"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3" min="2" style="0" width="10"/>
    <col collapsed="false" customWidth="true" hidden="false" outlineLevel="0" max="5" min="4" style="0" width="13"/>
    <col collapsed="false" customWidth="true" hidden="false" outlineLevel="0" max="6" min="6" style="0" width="8"/>
    <col collapsed="false" customWidth="true" hidden="false" outlineLevel="0" max="7" min="7" style="0" width="13"/>
  </cols>
  <sheetData>
    <row r="1" customFormat="false" ht="18.55" hidden="false" customHeight="false" outlineLevel="0" collapsed="false">
      <c r="A1" s="12" t="s">
        <v>277</v>
      </c>
    </row>
    <row r="2" customFormat="false" ht="15" hidden="false" customHeight="false" outlineLevel="0" collapsed="false">
      <c r="A2" s="13" t="s">
        <v>278</v>
      </c>
    </row>
    <row r="4" customFormat="false" ht="30" hidden="false" customHeight="true" outlineLevel="0" collapsed="false">
      <c r="A4" s="5" t="s">
        <v>20</v>
      </c>
      <c r="B4" s="5" t="s">
        <v>279</v>
      </c>
      <c r="C4" s="5" t="s">
        <v>280</v>
      </c>
      <c r="D4" s="5" t="s">
        <v>281</v>
      </c>
      <c r="E4" s="5" t="s">
        <v>35</v>
      </c>
      <c r="F4" s="5" t="s">
        <v>282</v>
      </c>
      <c r="G4" s="5" t="s">
        <v>283</v>
      </c>
    </row>
    <row r="5" customFormat="false" ht="15" hidden="false" customHeight="false" outlineLevel="0" collapsed="false">
      <c r="A5" s="14" t="s">
        <v>30</v>
      </c>
      <c r="B5" s="15" t="n">
        <f aca="false">COUNTIF(Controls!$B$2:$B$59,$A5)</f>
        <v>8</v>
      </c>
      <c r="C5" s="15" t="n">
        <f aca="false">COUNTIFS(Controls!$B$2:$B$59,$A5,Controls!$G$2:$G$59,"Done")</f>
        <v>0</v>
      </c>
      <c r="D5" s="15" t="n">
        <f aca="false">COUNTIFS(Controls!$B$2:$B$59,$A5,Controls!$G$2:$G$59,"In progress")</f>
        <v>0</v>
      </c>
      <c r="E5" s="15" t="n">
        <f aca="false">COUNTIFS(Controls!$B$2:$B$59,$A5,Controls!$G$2:$G$59,"Not started")</f>
        <v>8</v>
      </c>
      <c r="F5" s="15" t="n">
        <f aca="false">COUNTIFS(Controls!$B$2:$B$59,$A5,Controls!$G$2:$G$59,"N/A")</f>
        <v>0</v>
      </c>
      <c r="G5" s="16" t="n">
        <f aca="false">IFERROR((C5+F5)/B5,0)</f>
        <v>0</v>
      </c>
    </row>
    <row r="6" customFormat="false" ht="15" hidden="false" customHeight="false" outlineLevel="0" collapsed="false">
      <c r="A6" s="14" t="s">
        <v>66</v>
      </c>
      <c r="B6" s="15" t="n">
        <f aca="false">COUNTIF(Controls!$B$2:$B$59,$A6)</f>
        <v>9</v>
      </c>
      <c r="C6" s="15" t="n">
        <f aca="false">COUNTIFS(Controls!$B$2:$B$59,$A6,Controls!$G$2:$G$59,"Done")</f>
        <v>0</v>
      </c>
      <c r="D6" s="15" t="n">
        <f aca="false">COUNTIFS(Controls!$B$2:$B$59,$A6,Controls!$G$2:$G$59,"In progress")</f>
        <v>0</v>
      </c>
      <c r="E6" s="15" t="n">
        <f aca="false">COUNTIFS(Controls!$B$2:$B$59,$A6,Controls!$G$2:$G$59,"Not started")</f>
        <v>9</v>
      </c>
      <c r="F6" s="15" t="n">
        <f aca="false">COUNTIFS(Controls!$B$2:$B$59,$A6,Controls!$G$2:$G$59,"N/A")</f>
        <v>0</v>
      </c>
      <c r="G6" s="16" t="n">
        <f aca="false">IFERROR((C6+F6)/B6,0)</f>
        <v>0</v>
      </c>
    </row>
    <row r="7" customFormat="false" ht="15" hidden="false" customHeight="false" outlineLevel="0" collapsed="false">
      <c r="A7" s="14" t="s">
        <v>103</v>
      </c>
      <c r="B7" s="15" t="n">
        <f aca="false">COUNTIF(Controls!$B$2:$B$59,$A7)</f>
        <v>12</v>
      </c>
      <c r="C7" s="15" t="n">
        <f aca="false">COUNTIFS(Controls!$B$2:$B$59,$A7,Controls!$G$2:$G$59,"Done")</f>
        <v>0</v>
      </c>
      <c r="D7" s="15" t="n">
        <f aca="false">COUNTIFS(Controls!$B$2:$B$59,$A7,Controls!$G$2:$G$59,"In progress")</f>
        <v>0</v>
      </c>
      <c r="E7" s="15" t="n">
        <f aca="false">COUNTIFS(Controls!$B$2:$B$59,$A7,Controls!$G$2:$G$59,"Not started")</f>
        <v>12</v>
      </c>
      <c r="F7" s="15" t="n">
        <f aca="false">COUNTIFS(Controls!$B$2:$B$59,$A7,Controls!$G$2:$G$59,"N/A")</f>
        <v>0</v>
      </c>
      <c r="G7" s="16" t="n">
        <f aca="false">IFERROR((C7+F7)/B7,0)</f>
        <v>0</v>
      </c>
    </row>
    <row r="8" customFormat="false" ht="15" hidden="false" customHeight="false" outlineLevel="0" collapsed="false">
      <c r="A8" s="14" t="s">
        <v>153</v>
      </c>
      <c r="B8" s="15" t="n">
        <f aca="false">COUNTIF(Controls!$B$2:$B$59,$A8)</f>
        <v>7</v>
      </c>
      <c r="C8" s="15" t="n">
        <f aca="false">COUNTIFS(Controls!$B$2:$B$59,$A8,Controls!$G$2:$G$59,"Done")</f>
        <v>0</v>
      </c>
      <c r="D8" s="15" t="n">
        <f aca="false">COUNTIFS(Controls!$B$2:$B$59,$A8,Controls!$G$2:$G$59,"In progress")</f>
        <v>0</v>
      </c>
      <c r="E8" s="15" t="n">
        <f aca="false">COUNTIFS(Controls!$B$2:$B$59,$A8,Controls!$G$2:$G$59,"Not started")</f>
        <v>7</v>
      </c>
      <c r="F8" s="15" t="n">
        <f aca="false">COUNTIFS(Controls!$B$2:$B$59,$A8,Controls!$G$2:$G$59,"N/A")</f>
        <v>0</v>
      </c>
      <c r="G8" s="16" t="n">
        <f aca="false">IFERROR((C8+F8)/B8,0)</f>
        <v>0</v>
      </c>
    </row>
    <row r="9" customFormat="false" ht="15" hidden="false" customHeight="false" outlineLevel="0" collapsed="false">
      <c r="A9" s="14" t="s">
        <v>183</v>
      </c>
      <c r="B9" s="15" t="n">
        <f aca="false">COUNTIF(Controls!$B$2:$B$59,$A9)</f>
        <v>6</v>
      </c>
      <c r="C9" s="15" t="n">
        <f aca="false">COUNTIFS(Controls!$B$2:$B$59,$A9,Controls!$G$2:$G$59,"Done")</f>
        <v>0</v>
      </c>
      <c r="D9" s="15" t="n">
        <f aca="false">COUNTIFS(Controls!$B$2:$B$59,$A9,Controls!$G$2:$G$59,"In progress")</f>
        <v>0</v>
      </c>
      <c r="E9" s="15" t="n">
        <f aca="false">COUNTIFS(Controls!$B$2:$B$59,$A9,Controls!$G$2:$G$59,"Not started")</f>
        <v>6</v>
      </c>
      <c r="F9" s="15" t="n">
        <f aca="false">COUNTIFS(Controls!$B$2:$B$59,$A9,Controls!$G$2:$G$59,"N/A")</f>
        <v>0</v>
      </c>
      <c r="G9" s="16" t="n">
        <f aca="false">IFERROR((C9+F9)/B9,0)</f>
        <v>0</v>
      </c>
    </row>
    <row r="10" customFormat="false" ht="15" hidden="false" customHeight="false" outlineLevel="0" collapsed="false">
      <c r="A10" s="14" t="s">
        <v>210</v>
      </c>
      <c r="B10" s="15" t="n">
        <f aca="false">COUNTIF(Controls!$B$2:$B$59,$A10)</f>
        <v>8</v>
      </c>
      <c r="C10" s="15" t="n">
        <f aca="false">COUNTIFS(Controls!$B$2:$B$59,$A10,Controls!$G$2:$G$59,"Done")</f>
        <v>0</v>
      </c>
      <c r="D10" s="15" t="n">
        <f aca="false">COUNTIFS(Controls!$B$2:$B$59,$A10,Controls!$G$2:$G$59,"In progress")</f>
        <v>0</v>
      </c>
      <c r="E10" s="15" t="n">
        <f aca="false">COUNTIFS(Controls!$B$2:$B$59,$A10,Controls!$G$2:$G$59,"Not started")</f>
        <v>8</v>
      </c>
      <c r="F10" s="15" t="n">
        <f aca="false">COUNTIFS(Controls!$B$2:$B$59,$A10,Controls!$G$2:$G$59,"N/A")</f>
        <v>0</v>
      </c>
      <c r="G10" s="16" t="n">
        <f aca="false">IFERROR((C10+F10)/B10,0)</f>
        <v>0</v>
      </c>
    </row>
    <row r="11" customFormat="false" ht="15" hidden="false" customHeight="false" outlineLevel="0" collapsed="false">
      <c r="A11" s="14" t="s">
        <v>244</v>
      </c>
      <c r="B11" s="15" t="n">
        <f aca="false">COUNTIF(Controls!$B$2:$B$59,$A11)</f>
        <v>8</v>
      </c>
      <c r="C11" s="15" t="n">
        <f aca="false">COUNTIFS(Controls!$B$2:$B$59,$A11,Controls!$G$2:$G$59,"Done")</f>
        <v>0</v>
      </c>
      <c r="D11" s="15" t="n">
        <f aca="false">COUNTIFS(Controls!$B$2:$B$59,$A11,Controls!$G$2:$G$59,"In progress")</f>
        <v>0</v>
      </c>
      <c r="E11" s="15" t="n">
        <f aca="false">COUNTIFS(Controls!$B$2:$B$59,$A11,Controls!$G$2:$G$59,"Not started")</f>
        <v>8</v>
      </c>
      <c r="F11" s="15" t="n">
        <f aca="false">COUNTIFS(Controls!$B$2:$B$59,$A11,Controls!$G$2:$G$59,"N/A")</f>
        <v>0</v>
      </c>
      <c r="G11" s="16" t="n">
        <f aca="false">IFERROR((C11+F11)/B11,0)</f>
        <v>0</v>
      </c>
    </row>
    <row r="12" customFormat="false" ht="15" hidden="false" customHeight="false" outlineLevel="0" collapsed="false">
      <c r="A12" s="17" t="s">
        <v>284</v>
      </c>
      <c r="B12" s="18" t="n">
        <f aca="false">SUM(B5:B11)</f>
        <v>58</v>
      </c>
      <c r="C12" s="18" t="n">
        <f aca="false">SUM(C5:C11)</f>
        <v>0</v>
      </c>
      <c r="D12" s="18" t="n">
        <f aca="false">SUM(D5:D11)</f>
        <v>0</v>
      </c>
      <c r="E12" s="18" t="n">
        <f aca="false">SUM(E5:E11)</f>
        <v>58</v>
      </c>
      <c r="F12" s="18" t="n">
        <f aca="false">SUM(F5:F11)</f>
        <v>0</v>
      </c>
      <c r="G12" s="19" t="n">
        <f aca="false">IFERROR((C12+F12)/B12,0)</f>
        <v>0</v>
      </c>
    </row>
    <row r="14" customFormat="false" ht="15" hidden="false" customHeight="false" outlineLevel="0" collapsed="false">
      <c r="A14" s="20" t="s">
        <v>285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2026-07-24T11:13:57Z</dcterms:created>
  <dc:creator>openpyxl</dc:creator>
  <dc:description/>
  <dc:language>en-US</dc:language>
  <cp:lastModifiedBy/>
  <dcterms:modified xsi:type="dcterms:W3CDTF">2026-07-24T11:13:57Z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