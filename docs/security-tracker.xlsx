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Read me" sheetId="1" state="visible" r:id="rId1"/>
    <sheet name="Controls" sheetId="2" state="visible" r:id="rId2"/>
    <sheet name="Summary" sheetId="3" state="visible" r:id="rId3"/>
  </sheets>
  <definedNames>
    <definedName name="_xlnm._FilterDatabase" localSheetId="1" hidden="1">'Controls'!$A$1:$J$59</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dd/mm/yyyy"/>
  </numFmts>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0C1526"/>
      <sz val="15"/>
    </font>
    <font>
      <name val="Arial"/>
      <charset val="1"/>
      <family val="0"/>
      <color rgb="FF2C3648"/>
      <sz val="10"/>
    </font>
    <font>
      <name val="Arial"/>
      <charset val="1"/>
      <family val="0"/>
      <b val="1"/>
      <color rgb="FF0C1526"/>
      <sz val="10"/>
    </font>
    <font>
      <name val="Arial"/>
      <charset val="1"/>
      <family val="0"/>
      <b val="1"/>
      <color rgb="FFB0812C"/>
      <sz val="10"/>
    </font>
    <font>
      <name val="Arial"/>
      <charset val="1"/>
      <family val="0"/>
      <b val="1"/>
      <color rgb="FFFFFFFF"/>
      <sz val="9"/>
    </font>
    <font>
      <name val="Arial"/>
      <charset val="1"/>
      <family val="0"/>
      <b val="1"/>
      <color rgb="FFB0812C"/>
      <sz val="9"/>
    </font>
    <font>
      <name val="Arial"/>
      <charset val="1"/>
      <family val="0"/>
      <b val="1"/>
      <color rgb="FF0C1526"/>
      <sz val="9"/>
    </font>
    <font>
      <name val="Arial"/>
      <charset val="1"/>
      <family val="0"/>
      <color rgb="FF2C3648"/>
      <sz val="9"/>
    </font>
    <font>
      <name val="Arial"/>
      <charset val="1"/>
      <family val="0"/>
      <color rgb="FF6B7689"/>
      <sz val="9"/>
    </font>
    <font>
      <name val="Arial"/>
      <charset val="1"/>
      <family val="0"/>
      <i val="1"/>
      <color rgb="FF6B7689"/>
      <sz val="9"/>
    </font>
  </fonts>
  <fills count="5">
    <fill>
      <patternFill/>
    </fill>
    <fill>
      <patternFill patternType="gray125"/>
    </fill>
    <fill>
      <patternFill patternType="solid">
        <fgColor rgb="FF0C1526"/>
        <bgColor rgb="FF000000"/>
      </patternFill>
    </fill>
    <fill>
      <patternFill patternType="solid">
        <fgColor rgb="FFF1EDE3"/>
        <bgColor rgb="FFFFF9E6"/>
      </patternFill>
    </fill>
    <fill>
      <patternFill patternType="solid">
        <fgColor rgb="FFFFF9E6"/>
        <bgColor rgb="FFFFFFFF"/>
      </patternFill>
    </fill>
  </fills>
  <borders count="2">
    <border>
      <left/>
      <right/>
      <top/>
      <bottom/>
      <diagonal/>
    </border>
    <border>
      <left style="thin">
        <color rgb="FFD5DAE3"/>
      </left>
      <right style="thin">
        <color rgb="FFD5DAE3"/>
      </right>
      <top style="thin">
        <color rgb="FFD5DAE3"/>
      </top>
      <bottom style="thin">
        <color rgb="FFD5DAE3"/>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3">
    <xf numFmtId="0" fontId="0" fillId="0" borderId="0" applyAlignment="1" pivotButton="0" quotePrefix="0" xfId="0">
      <alignment horizontal="general" vertical="bottom"/>
    </xf>
    <xf numFmtId="0" fontId="4" fillId="0" borderId="0" applyAlignment="1" pivotButton="0" quotePrefix="0" xfId="0">
      <alignment horizontal="general" vertical="top"/>
    </xf>
    <xf numFmtId="0" fontId="5" fillId="0" borderId="0" applyAlignment="1" pivotButton="0" quotePrefix="0" xfId="0">
      <alignment horizontal="general" vertical="top" wrapText="1"/>
    </xf>
    <xf numFmtId="0" fontId="6" fillId="0" borderId="0" applyAlignment="1" pivotButton="0" quotePrefix="0" xfId="0">
      <alignment horizontal="general" vertical="top"/>
    </xf>
    <xf numFmtId="0" fontId="7" fillId="0" borderId="0" applyAlignment="1" pivotButton="0" quotePrefix="0" xfId="0">
      <alignment horizontal="general" vertical="top"/>
    </xf>
    <xf numFmtId="0" fontId="8" fillId="2" borderId="1" applyAlignment="1" pivotButton="0" quotePrefix="0" xfId="0">
      <alignment horizontal="left" vertical="center" wrapText="1"/>
    </xf>
    <xf numFmtId="0" fontId="9" fillId="0" borderId="1" applyAlignment="1" pivotButton="0" quotePrefix="0" xfId="0">
      <alignment horizontal="center" vertical="top"/>
    </xf>
    <xf numFmtId="0" fontId="10" fillId="3" borderId="1" applyAlignment="1" pivotButton="0" quotePrefix="0" xfId="0">
      <alignment horizontal="general" vertical="top" wrapText="1"/>
    </xf>
    <xf numFmtId="0" fontId="10" fillId="0" borderId="1" applyAlignment="1" pivotButton="0" quotePrefix="0" xfId="0">
      <alignment horizontal="general" vertical="top" wrapText="1"/>
    </xf>
    <xf numFmtId="0" fontId="11" fillId="0" borderId="1" applyAlignment="1" pivotButton="0" quotePrefix="0" xfId="0">
      <alignment horizontal="general" vertical="top" wrapText="1"/>
    </xf>
    <xf numFmtId="0" fontId="11" fillId="4" borderId="1" applyAlignment="1" pivotButton="0" quotePrefix="0" xfId="0">
      <alignment horizontal="general" vertical="top" wrapText="1"/>
    </xf>
    <xf numFmtId="164" fontId="11" fillId="4" borderId="1" applyAlignment="1" pivotButton="0" quotePrefix="0" xfId="0">
      <alignment horizontal="general" vertical="top" wrapText="1"/>
    </xf>
    <xf numFmtId="0" fontId="4" fillId="0" borderId="0" applyAlignment="1" pivotButton="0" quotePrefix="0" xfId="0">
      <alignment horizontal="general" vertical="bottom"/>
    </xf>
    <xf numFmtId="0" fontId="12" fillId="0" borderId="0" applyAlignment="1" pivotButton="0" quotePrefix="0" xfId="0">
      <alignment horizontal="general" vertical="bottom"/>
    </xf>
    <xf numFmtId="0" fontId="10" fillId="0" borderId="1" applyAlignment="1" pivotButton="0" quotePrefix="0" xfId="0">
      <alignment horizontal="general" vertical="bottom"/>
    </xf>
    <xf numFmtId="0" fontId="11" fillId="0" borderId="1" applyAlignment="1" pivotButton="0" quotePrefix="0" xfId="0">
      <alignment horizontal="center" vertical="bottom"/>
    </xf>
    <xf numFmtId="9" fontId="11" fillId="0" borderId="1" applyAlignment="1" pivotButton="0" quotePrefix="0" xfId="0">
      <alignment horizontal="center" vertical="bottom"/>
    </xf>
    <xf numFmtId="0" fontId="6" fillId="3" borderId="1" applyAlignment="1" pivotButton="0" quotePrefix="0" xfId="0">
      <alignment horizontal="general" vertical="bottom"/>
    </xf>
    <xf numFmtId="0" fontId="6" fillId="3" borderId="1" applyAlignment="1" pivotButton="0" quotePrefix="0" xfId="0">
      <alignment horizontal="center" vertical="bottom"/>
    </xf>
    <xf numFmtId="9" fontId="6" fillId="3" borderId="1" applyAlignment="1" pivotButton="0" quotePrefix="0" xfId="0">
      <alignment horizontal="center" vertical="bottom"/>
    </xf>
    <xf numFmtId="0" fontId="13"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xf>
    <xf numFmtId="0" fontId="5" fillId="0" borderId="0" applyAlignment="1" pivotButton="0" quotePrefix="0" xfId="0">
      <alignment horizontal="general" vertical="top" wrapText="1"/>
    </xf>
    <xf numFmtId="0" fontId="6" fillId="0" borderId="0" applyAlignment="1" pivotButton="0" quotePrefix="0" xfId="0">
      <alignment horizontal="general" vertical="top"/>
    </xf>
    <xf numFmtId="0" fontId="7" fillId="0" borderId="0" applyAlignment="1" pivotButton="0" quotePrefix="0" xfId="0">
      <alignment horizontal="general" vertical="top"/>
    </xf>
    <xf numFmtId="0" fontId="8" fillId="2" borderId="1" applyAlignment="1" pivotButton="0" quotePrefix="0" xfId="0">
      <alignment horizontal="left" vertical="center" wrapText="1"/>
    </xf>
    <xf numFmtId="0" fontId="9" fillId="0" borderId="1" applyAlignment="1" pivotButton="0" quotePrefix="0" xfId="0">
      <alignment horizontal="center" vertical="top"/>
    </xf>
    <xf numFmtId="0" fontId="10" fillId="3" borderId="1" applyAlignment="1" pivotButton="0" quotePrefix="0" xfId="0">
      <alignment horizontal="general" vertical="top" wrapText="1"/>
    </xf>
    <xf numFmtId="0" fontId="10" fillId="0" borderId="1" applyAlignment="1" pivotButton="0" quotePrefix="0" xfId="0">
      <alignment horizontal="general" vertical="top" wrapText="1"/>
    </xf>
    <xf numFmtId="0" fontId="11" fillId="0" borderId="1" applyAlignment="1" pivotButton="0" quotePrefix="0" xfId="0">
      <alignment horizontal="general" vertical="top" wrapText="1"/>
    </xf>
    <xf numFmtId="0" fontId="11" fillId="4" borderId="1" applyAlignment="1" pivotButton="0" quotePrefix="0" xfId="0">
      <alignment horizontal="general" vertical="top" wrapText="1"/>
    </xf>
    <xf numFmtId="164" fontId="11" fillId="4" borderId="1" applyAlignment="1" pivotButton="0" quotePrefix="0" xfId="0">
      <alignment horizontal="general" vertical="top" wrapText="1"/>
    </xf>
    <xf numFmtId="0" fontId="4" fillId="0" borderId="0" applyAlignment="1" pivotButton="0" quotePrefix="0" xfId="0">
      <alignment horizontal="general" vertical="bottom"/>
    </xf>
    <xf numFmtId="0" fontId="12" fillId="0" borderId="0" applyAlignment="1" pivotButton="0" quotePrefix="0" xfId="0">
      <alignment horizontal="general" vertical="bottom"/>
    </xf>
    <xf numFmtId="0" fontId="10" fillId="0" borderId="1" applyAlignment="1" pivotButton="0" quotePrefix="0" xfId="0">
      <alignment horizontal="general" vertical="bottom"/>
    </xf>
    <xf numFmtId="0" fontId="11" fillId="0" borderId="1" applyAlignment="1" pivotButton="0" quotePrefix="0" xfId="0">
      <alignment horizontal="center" vertical="bottom"/>
    </xf>
    <xf numFmtId="9" fontId="11" fillId="0" borderId="1" applyAlignment="1" pivotButton="0" quotePrefix="0" xfId="0">
      <alignment horizontal="center" vertical="bottom"/>
    </xf>
    <xf numFmtId="0" fontId="6" fillId="3" borderId="1" applyAlignment="1" pivotButton="0" quotePrefix="0" xfId="0">
      <alignment horizontal="general" vertical="bottom"/>
    </xf>
    <xf numFmtId="0" fontId="6" fillId="3" borderId="1" applyAlignment="1" pivotButton="0" quotePrefix="0" xfId="0">
      <alignment horizontal="center" vertical="bottom"/>
    </xf>
    <xf numFmtId="9" fontId="6" fillId="3" borderId="1" applyAlignment="1" pivotButton="0" quotePrefix="0" xfId="0">
      <alignment horizontal="center" vertical="bottom"/>
    </xf>
    <xf numFmtId="0" fontId="13"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patternType="solid">
          <fgColor rgb="FF0C1526"/>
          <bgColor rgb="FF000000"/>
        </patternFill>
      </fill>
    </dxf>
    <dxf>
      <fill>
        <patternFill patternType="solid">
          <bgColor rgb="FF000000"/>
        </patternFill>
      </fill>
    </dxf>
    <dxf>
      <fill>
        <patternFill patternType="solid">
          <fgColor rgb="FFB0812C"/>
          <bgColor rgb="FF000000"/>
        </patternFill>
      </fill>
    </dxf>
    <dxf>
      <fill>
        <patternFill patternType="solid">
          <fgColor rgb="FFFFFFFF"/>
          <bgColor rgb="FF000000"/>
        </patternFill>
      </fill>
    </dxf>
    <dxf>
      <fill>
        <patternFill patternType="solid">
          <fgColor rgb="FFF1EDE3"/>
          <bgColor rgb="FF000000"/>
        </patternFill>
      </fill>
    </dxf>
    <dxf>
      <fill>
        <patternFill patternType="solid">
          <fgColor rgb="FF2C3648"/>
          <bgColor rgb="FF000000"/>
        </patternFill>
      </fill>
    </dxf>
    <dxf>
      <fill>
        <patternFill patternType="solid">
          <fgColor rgb="FFFFF9E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0812C"/>
      <rgbColor rgb="FF800080"/>
      <rgbColor rgb="FF008080"/>
      <rgbColor rgb="FFC0C0C0"/>
      <rgbColor rgb="FF808080"/>
      <rgbColor rgb="FF9999FF"/>
      <rgbColor rgb="FF993366"/>
      <rgbColor rgb="FFFFF9E6"/>
      <rgbColor rgb="FFCCFFFF"/>
      <rgbColor rgb="FF660066"/>
      <rgbColor rgb="FFFF8080"/>
      <rgbColor rgb="FF0066CC"/>
      <rgbColor rgb="FFD5DAE3"/>
      <rgbColor rgb="FF000080"/>
      <rgbColor rgb="FFFF00FF"/>
      <rgbColor rgb="FFFFFF00"/>
      <rgbColor rgb="FF00FFFF"/>
      <rgbColor rgb="FF800080"/>
      <rgbColor rgb="FF800000"/>
      <rgbColor rgb="FF008080"/>
      <rgbColor rgb="FF0000FF"/>
      <rgbColor rgb="FF00CCFF"/>
      <rgbColor rgb="FFCCFFFF"/>
      <rgbColor rgb="FFF1EDE3"/>
      <rgbColor rgb="FFFFFF99"/>
      <rgbColor rgb="FF99CCFF"/>
      <rgbColor rgb="FFFF99CC"/>
      <rgbColor rgb="FFCC99FF"/>
      <rgbColor rgb="FFFFCC99"/>
      <rgbColor rgb="FF3366FF"/>
      <rgbColor rgb="FF33CCCC"/>
      <rgbColor rgb="FF99CC00"/>
      <rgbColor rgb="FFFFCC00"/>
      <rgbColor rgb="FFFF9900"/>
      <rgbColor rgb="FFFF6600"/>
      <rgbColor rgb="FF6B7689"/>
      <rgbColor rgb="FF969696"/>
      <rgbColor rgb="FF003366"/>
      <rgbColor rgb="FF339966"/>
      <rgbColor rgb="FF0C1526"/>
      <rgbColor rgb="FF333300"/>
      <rgbColor rgb="FF993300"/>
      <rgbColor rgb="FF993366"/>
      <rgbColor rgb="FF333399"/>
      <rgbColor rgb="FF2C3648"/>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18"/>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21" min="1" max="1"/>
    <col width="104" customWidth="1" style="21" min="2" max="2"/>
  </cols>
  <sheetData>
    <row r="1" ht="18.55" customHeight="1" s="22">
      <c r="A1" s="23" t="inlineStr">
        <is>
          <t>MPX Global — Security Implementation Tracker</t>
        </is>
      </c>
      <c r="B1" s="24" t="n"/>
    </row>
    <row r="2" ht="15" customHeight="1" s="22">
      <c r="A2" s="25" t="n"/>
      <c r="B2" s="24" t="n"/>
    </row>
    <row r="3" ht="45.75" customHeight="1" s="22">
      <c r="A3" s="26" t="inlineStr">
        <is>
          <t>Purpose</t>
        </is>
      </c>
      <c r="B3" s="24" t="inlineStr">
        <is>
          <t>Every security control committed to in the MPX Global Rev 02 quotations, in one place. These are contractual deliverables, not suggestions: the quotations list them as included in scope, so a control that is not built is a scope shortfall rather than a defect.</t>
        </is>
      </c>
    </row>
    <row r="4" ht="15" customHeight="1" s="22">
      <c r="A4" s="25" t="n"/>
      <c r="B4" s="24" t="n"/>
    </row>
    <row r="5" ht="45.75" customHeight="1" s="22">
      <c r="A5" s="25" t="inlineStr">
        <is>
          <t>How to use it</t>
        </is>
      </c>
      <c r="B5" s="24" t="inlineStr">
        <is>
          <t>Work through the Controls sheet as you build. Fill the three yellow columns — Status, Evidence and Verified on. Keep it updated as you go; reconstructing it at the end is far harder than maintaining it.</t>
        </is>
      </c>
    </row>
    <row r="6" ht="15" customHeight="1" s="22">
      <c r="A6" s="25" t="n"/>
      <c r="B6" s="24" t="n"/>
    </row>
    <row r="7" ht="15" customHeight="1" s="22">
      <c r="A7" s="25" t="inlineStr">
        <is>
          <t>Columns you edit</t>
        </is>
      </c>
      <c r="B7" s="24" t="inlineStr">
        <is>
          <t>Status · Evidence (commit, file path or test name) · Verified on (date) · Notes</t>
        </is>
      </c>
    </row>
    <row r="8" ht="15" customHeight="1" s="22">
      <c r="A8" s="25" t="inlineStr">
        <is>
          <t>Columns to leave</t>
        </is>
      </c>
      <c r="B8" s="24" t="inlineStr">
        <is>
          <t>ID · Category · Control as promised · Promised in · Implementation approach · How to verify</t>
        </is>
      </c>
    </row>
    <row r="9" ht="15" customHeight="1" s="22">
      <c r="A9" s="25" t="n"/>
      <c r="B9" s="24" t="n"/>
    </row>
    <row r="10" ht="15" customHeight="1" s="22">
      <c r="A10" s="25" t="inlineStr">
        <is>
          <t>Status values</t>
        </is>
      </c>
      <c r="B10" s="24" t="inlineStr">
        <is>
          <t>Not started · In progress · Done · N/A</t>
        </is>
      </c>
    </row>
    <row r="11" ht="15" customHeight="1" s="22">
      <c r="A11" s="25" t="n"/>
      <c r="B11" s="24" t="n"/>
    </row>
    <row r="12" ht="23.85" customHeight="1" s="22">
      <c r="A12" s="25" t="inlineStr">
        <is>
          <t>Example row</t>
        </is>
      </c>
      <c r="B12" s="24" t="inlineStr">
        <is>
          <t>Status: Done | Evidence: src/middleware/rbac.js + tests/rbac.spec.js, commit a1b2c3d | Verified on: 12/08/2026 | Notes: default-deny applied at router level, 3 legacy routes migrated</t>
        </is>
      </c>
    </row>
    <row r="13" ht="15" customHeight="1" s="22">
      <c r="A13" s="25" t="n"/>
      <c r="B13" s="24" t="n"/>
    </row>
    <row r="14" ht="45.75" customHeight="1" s="22">
      <c r="A14" s="25" t="inlineStr">
        <is>
          <t>Why evidence matters</t>
        </is>
      </c>
      <c r="B14" s="24" t="inlineStr">
        <is>
          <t>If a security question is ever raised — by the Client, a payment aggregator, a penetration tester or an insurer — the question will be "show me", not "tell me". A commit reference or a passing test answers it in seconds. Memory does not.</t>
        </is>
      </c>
    </row>
    <row r="15" ht="15" customHeight="1" s="22">
      <c r="A15" s="25" t="n"/>
      <c r="B15" s="24" t="n"/>
    </row>
    <row r="16" ht="45.75" customHeight="1" s="22">
      <c r="A16" s="25" t="inlineStr">
        <is>
          <t>Before go-live</t>
        </is>
      </c>
      <c r="B16" s="24" t="inlineStr">
        <is>
          <t>The quotations recommend an independent penetration test engaged by the Client, plus a mobile application security assessment before store submission. Complete this tracker first, then hand it to the tester as the scope baseline.</t>
        </is>
      </c>
    </row>
    <row r="17" ht="15" customHeight="1" s="22">
      <c r="A17" s="25" t="n"/>
      <c r="B17" s="24" t="n"/>
    </row>
    <row r="18" ht="45.75" customHeight="1" s="22">
      <c r="A18" s="25" t="inlineStr">
        <is>
          <t>Note on cyber insurance</t>
        </is>
      </c>
      <c r="B18" s="24" t="inlineStr">
        <is>
          <t>Insurers now ask for demonstrated security controls and incident response documentation as a condition of cover, not as a recommendation. This sheet is most of that evidence.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J59"/>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6" customWidth="1" style="21" min="1" max="1"/>
    <col width="26" customWidth="1" style="21" min="2" max="2"/>
    <col width="52" customWidth="1" style="21" min="3" max="3"/>
    <col width="20" customWidth="1" style="21" min="4" max="4"/>
    <col width="62" customWidth="1" style="21" min="5" max="5"/>
    <col width="46" customWidth="1" style="21" min="6" max="6"/>
    <col width="14" customWidth="1" style="21" min="7" max="7"/>
    <col width="32" customWidth="1" style="21" min="8" max="8"/>
    <col width="13" customWidth="1" style="21" min="9" max="9"/>
    <col width="28" customWidth="1" style="21" min="10" max="10"/>
  </cols>
  <sheetData>
    <row r="1" ht="30" customHeight="1" s="22">
      <c r="A1" s="27" t="inlineStr">
        <is>
          <t>ID</t>
        </is>
      </c>
      <c r="B1" s="27" t="inlineStr">
        <is>
          <t>Category</t>
        </is>
      </c>
      <c r="C1" s="27" t="inlineStr">
        <is>
          <t>Control as promised</t>
        </is>
      </c>
      <c r="D1" s="27" t="inlineStr">
        <is>
          <t>Promised in</t>
        </is>
      </c>
      <c r="E1" s="27" t="inlineStr">
        <is>
          <t>Implementation approach</t>
        </is>
      </c>
      <c r="F1" s="27" t="inlineStr">
        <is>
          <t>How to verify</t>
        </is>
      </c>
      <c r="G1" s="27" t="inlineStr">
        <is>
          <t>Status</t>
        </is>
      </c>
      <c r="H1" s="27" t="inlineStr">
        <is>
          <t>Evidence (commit / file / test)</t>
        </is>
      </c>
      <c r="I1" s="27" t="inlineStr">
        <is>
          <t>Verified on</t>
        </is>
      </c>
      <c r="J1" s="27" t="inlineStr">
        <is>
          <t>Notes</t>
        </is>
      </c>
    </row>
    <row r="2" ht="73.5" customHeight="1" s="22">
      <c r="A2" s="28" t="inlineStr">
        <is>
          <t>A1</t>
        </is>
      </c>
      <c r="B2" s="29" t="inlineStr">
        <is>
          <t>A · Authentication &amp; access</t>
        </is>
      </c>
      <c r="C2" s="30" t="inlineStr">
        <is>
          <t>Passwords stored using a modern one-way hashing algorithm — never in plain text or reversible form</t>
        </is>
      </c>
      <c r="D2" s="31" t="inlineStr">
        <is>
          <t>Web quotation, p10</t>
        </is>
      </c>
      <c r="E2" s="31" t="inlineStr">
        <is>
          <t>argon2id (preferred) or bcrypt with cost factor 12+. Hash on the server only. No MD5/SHA-1/SHA-256, no encryption — hashing must be one-way and salted per user.</t>
        </is>
      </c>
      <c r="F2" s="31" t="inlineStr">
        <is>
          <t>Read a user record straight from MongoDB: the password field must be an argon2/bcrypt digest. Confirm no endpoint or log ever returns it.</t>
        </is>
      </c>
      <c r="G2" s="32" t="inlineStr">
        <is>
          <t>Done</t>
        </is>
      </c>
      <c r="H2" s="32" t="inlineStr">
        <is>
          <t>src/services/password.service.js (argon2id, server-side only); tests/m1-auth-session.test.js (change-password audit carries no password material), tests/security-adversarial.test.js</t>
        </is>
      </c>
      <c r="I2" s="33" t="inlineStr">
        <is>
          <t>2026-09-25</t>
        </is>
      </c>
      <c r="J2" s="32" t="inlineStr">
        <is>
          <t>Hash never returned: baseSchema toJSON strip guard (tests/security-controls.test.js).</t>
        </is>
      </c>
    </row>
    <row r="3" ht="73.5" customHeight="1" s="22">
      <c r="A3" s="28" t="inlineStr">
        <is>
          <t>A2</t>
        </is>
      </c>
      <c r="B3" s="29" t="inlineStr">
        <is>
          <t>A · Authentication &amp; access</t>
        </is>
      </c>
      <c r="C3" s="30" t="inlineStr">
        <is>
          <t>JWT with short expiry and refresh-token rotation</t>
        </is>
      </c>
      <c r="D3" s="31" t="inlineStr">
        <is>
          <t>Web p10 · App p6</t>
        </is>
      </c>
      <c r="E3" s="31" t="inlineStr">
        <is>
          <t>Access token 15 min, refresh token 7 days. Rotate the refresh token on every use and store only its hash server-side. On reuse of an already-rotated token, revoke the whole token family.</t>
        </is>
      </c>
      <c r="F3" s="31" t="inlineStr">
        <is>
          <t>Decode a token and check exp. Use a refresh token twice — the second attempt must fail and kill the session family.</t>
        </is>
      </c>
      <c r="G3" s="32" t="inlineStr">
        <is>
          <t>Done</t>
        </is>
      </c>
      <c r="H3" s="32" t="inlineStr">
        <is>
          <t>src/services/token.service.js (JWT_ACCESS_TTL 15m; rotateRefreshToken: rotate on every use, reuse revokes the whole family); tests/auth.test.js "refresh rotates; reusing the old token revokes the whole family", tests/a2-refresh-cookie.test.js</t>
        </is>
      </c>
      <c r="I3" s="33" t="inlineStr">
        <is>
          <t>2026-09-25</t>
        </is>
      </c>
      <c r="J3" s="32" t="inlineStr">
        <is>
          <t>Web keeps the refresh token in an httpOnly cookie; the app keeps it in the secure keystore (G1).</t>
        </is>
      </c>
    </row>
    <row r="4" ht="73.5" customHeight="1" s="22">
      <c r="A4" s="28" t="inlineStr">
        <is>
          <t>A3</t>
        </is>
      </c>
      <c r="B4" s="29" t="inlineStr">
        <is>
          <t>A · Authentication &amp; access</t>
        </is>
      </c>
      <c r="C4" s="30" t="inlineStr">
        <is>
          <t>OTP with expiry, attempt limits and rate limiting</t>
        </is>
      </c>
      <c r="D4" s="31" t="inlineStr">
        <is>
          <t>Web p10 · App p6</t>
        </is>
      </c>
      <c r="E4" s="31" t="inlineStr">
        <is>
          <t>6 digits, 5-minute expiry, maximum 5 attempts then a 15-minute lock. Store the OTP hashed, never in plain text. Rate limit per mobile, per email and per IP.</t>
        </is>
      </c>
      <c r="F4" s="31" t="inlineStr">
        <is>
          <t>Request 6 OTPs in a row — later requests must be throttled. Enter a wrong OTP 5 times and confirm the lock.</t>
        </is>
      </c>
      <c r="G4" s="32" t="inlineStr">
        <is>
          <t>Done</t>
        </is>
      </c>
      <c r="H4" s="32" t="inlineStr">
        <is>
          <t>src/services/otp.service.js + src/config/env.js (OTP_TTL_SECONDS 300, OTP_MAX_ATTEMPTS 5, OTP_LOCK_SECONDS 900), otpLimiter in src/middleware/rateLimit.js; tests/otp-lock.test.js (lock, durable lock, concurrent guesses, single use, expiry, purpose/user scope)</t>
        </is>
      </c>
      <c r="I4" s="33" t="inlineStr">
        <is>
          <t>2026-09-25</t>
        </is>
      </c>
      <c r="J4" s="32" t="inlineStr">
        <is>
          <t>Codes can also go to the account's own email ("Don't have your phone?"), and the lock survives the switch (tests/otp-email-channel.test.js).</t>
        </is>
      </c>
    </row>
    <row r="5" ht="73.5" customHeight="1" s="22">
      <c r="A5" s="28" t="inlineStr">
        <is>
          <t>A4</t>
        </is>
      </c>
      <c r="B5" s="29" t="inlineStr">
        <is>
          <t>A · Authentication &amp; access</t>
        </is>
      </c>
      <c r="C5" s="30" t="inlineStr">
        <is>
          <t>Two-factor authentication available on Admin and Super Admin accounts</t>
        </is>
      </c>
      <c r="D5" s="31" t="inlineStr">
        <is>
          <t>Web quotation, p10</t>
        </is>
      </c>
      <c r="E5" s="31" t="inlineStr">
        <is>
          <t>TOTP via otplib/speakeasy, enrolled with a QR code. Enforce at login for Admin and Super Admin roles. Issue single-use backup codes stored hashed.</t>
        </is>
      </c>
      <c r="F5" s="31" t="inlineStr">
        <is>
          <t>Log in as Super Admin without a TOTP code — must be refused. Confirm a backup code works once and then fails.</t>
        </is>
      </c>
      <c r="G5" s="32" t="inlineStr">
        <is>
          <t>N/A</t>
        </is>
      </c>
      <c r="H5" s="32" t="inlineStr">
        <is>
          <t>—</t>
        </is>
      </c>
      <c r="I5" s="33" t="inlineStr">
        <is>
          <t>2026-09-25</t>
        </is>
      </c>
      <c r="J5" s="32" t="inlineStr">
        <is>
          <t>WAIVED BY THE OWNER, 2026-09-25 ("no need of 2fa"). The Super Admin signs in with password + one-time code (two factors), like all staff. TOTP groundwork exists (tests/d4-twofactor-backup-codes.test.js) but is not enforced. Client sign-off on this waiver recommended.</t>
        </is>
      </c>
    </row>
    <row r="6" ht="73.5" customHeight="1" s="22">
      <c r="A6" s="28" t="inlineStr">
        <is>
          <t>A5</t>
        </is>
      </c>
      <c r="B6" s="29" t="inlineStr">
        <is>
          <t>A · Authentication &amp; access</t>
        </is>
      </c>
      <c r="C6" s="30" t="inlineStr">
        <is>
          <t>Server-side RBAC enforced on every endpoint — permissions are not merely hidden in the interface</t>
        </is>
      </c>
      <c r="D6" s="31" t="inlineStr">
        <is>
          <t>Web p10 · App p6</t>
        </is>
      </c>
      <c r="E6" s="31" t="inlineStr">
        <is>
          <t>A single permission middleware applied at the router level with default-deny. Every route declares its required permission; a route with no declaration must fail to start the server.</t>
        </is>
      </c>
      <c r="F6" s="31" t="inlineStr">
        <is>
          <t>Call an Admin-only endpoint with a Buyer's valid token — must return 403. Grep the codebase for routes without a permission declaration.</t>
        </is>
      </c>
      <c r="G6" s="32" t="inlineStr">
        <is>
          <t>Done</t>
        </is>
      </c>
      <c r="H6" s="32" t="inlineStr">
        <is>
          <t>src/config/routeGuard.js (assertRoutesGuarded at boot: a route with no public/auth/permission declaration stops the server), src/middleware/authorize.js; tests/routeGuard.test.js, tests/security-adversarial.test.js "privilege escalation", tests/m5-adversarial.test.js</t>
        </is>
      </c>
      <c r="I6" s="33" t="inlineStr">
        <is>
          <t>2026-09-25</t>
        </is>
      </c>
      <c r="J6" s="32" t="inlineStr">
        <is>
          <t>Staff permissions are per employee (24 permissions); "Admin" is not a role.</t>
        </is>
      </c>
    </row>
    <row r="7" ht="73.5" customHeight="1" s="22">
      <c r="A7" s="28" t="inlineStr">
        <is>
          <t>A6</t>
        </is>
      </c>
      <c r="B7" s="29" t="inlineStr">
        <is>
          <t>A · Authentication &amp; access</t>
        </is>
      </c>
      <c r="C7" s="30" t="inlineStr">
        <is>
          <t>Ownership checks on every resource to prevent access to another user's records by ID manipulation</t>
        </is>
      </c>
      <c r="D7" s="31" t="inlineStr">
        <is>
          <t>Web p10 · App p6</t>
        </is>
      </c>
      <c r="E7" s="31" t="inlineStr">
        <is>
          <t>Never query by _id alone. Every read/write scopes by owner: findOne({_id, ownerId: req.user.orgId}). Applies to deals, quotes, contracts, orders, shipments, documents and payouts.</t>
        </is>
      </c>
      <c r="F7" s="31" t="inlineStr">
        <is>
          <t>Take a valid deal ID belonging to Exporter A and request it as Exporter B — must return 404, not 403 (do not confirm the record exists).</t>
        </is>
      </c>
      <c r="G7" s="32" t="inlineStr">
        <is>
          <t>Done</t>
        </is>
      </c>
      <c r="H7" s="32" t="inlineStr">
        <is>
          <t>src/models/scoping.js (declareScope / scopedFilter; an undeclared model is refused); tests/security-controls.test.js "ownership scoping is DECLARED on every model", tests/security-adversarial.test.js "cross-tenant ownership (IDOR)", tests/bank-accounts.test.js, tests/support-tickets.test.js</t>
        </is>
      </c>
      <c r="I7" s="33" t="inlineStr">
        <is>
          <t>2026-09-25</t>
        </is>
      </c>
      <c r="J7" s="32" t="inlineStr">
        <is>
          <t>Another owner's record returns 404, never 403.</t>
        </is>
      </c>
    </row>
    <row r="8" ht="73.5" customHeight="1" s="22">
      <c r="A8" s="28" t="inlineStr">
        <is>
          <t>A7</t>
        </is>
      </c>
      <c r="B8" s="29" t="inlineStr">
        <is>
          <t>A · Authentication &amp; access</t>
        </is>
      </c>
      <c r="C8" s="30" t="inlineStr">
        <is>
          <t>Sessions invalidated on password change, role change or deactivation</t>
        </is>
      </c>
      <c r="D8" s="31" t="inlineStr">
        <is>
          <t>Web p10 · App p6</t>
        </is>
      </c>
      <c r="E8" s="31" t="inlineStr">
        <is>
          <t>Keep a tokenVersion integer on the user document; include it in the JWT and compare on every request. Increment it on password change, role change, deactivation and logout.</t>
        </is>
      </c>
      <c r="F8" s="31" t="inlineStr">
        <is>
          <t>Log in on two devices, change the password on one — the other device's next request must fail.</t>
        </is>
      </c>
      <c r="G8" s="32" t="inlineStr">
        <is>
          <t>Done</t>
        </is>
      </c>
      <c r="H8" s="32" t="inlineStr">
        <is>
          <t>src/middleware/authenticate.js (tokenVersion checked on every request), src/services/auth.service.js (password change/reset bump tokenVersion + revoke refresh tokens), src/services/userManagement.service.js:152 (deactivation bumps tokenVersion); tests/security-adversarial.test.js "stale tokenVersion", tests/m1-auth-session.test.js "kills every existing session"</t>
        </is>
      </c>
      <c r="I8" s="33" t="inlineStr">
        <is>
          <t>2026-09-25</t>
        </is>
      </c>
      <c r="J8" s="32" t="inlineStr">
        <is>
          <t>Known, recorded gap: plain LOGOUT revokes the refresh token but the current access token lives until it expires (max 15 min) — tests/m1-auth-session.test.js "KNOWN GAP".</t>
        </is>
      </c>
    </row>
    <row r="9" ht="73.5" customHeight="1" s="22">
      <c r="A9" s="28" t="inlineStr">
        <is>
          <t>A8</t>
        </is>
      </c>
      <c r="B9" s="29" t="inlineStr">
        <is>
          <t>A · Authentication &amp; access</t>
        </is>
      </c>
      <c r="C9" s="30" t="inlineStr">
        <is>
          <t>Named user accounts throughout — no shared logins</t>
        </is>
      </c>
      <c r="D9" s="31" t="inlineStr">
        <is>
          <t>Web quotation, p10</t>
        </is>
      </c>
      <c r="E9" s="31" t="inlineStr">
        <is>
          <t>Unique email per employee account. No generic shared accounts. Every audit entry records a named user id, never a role.</t>
        </is>
      </c>
      <c r="F9" s="31" t="inlineStr">
        <is>
          <t>Check the employee collection for shared or generic addresses. Confirm each audit row carries a user id.</t>
        </is>
      </c>
      <c r="G9" s="32" t="inlineStr">
        <is>
          <t>Done</t>
        </is>
      </c>
      <c r="H9" s="32" t="inlineStr">
        <is>
          <t>src/models/User.js (unique email per role; employees are individual accounts created by the Super Admin), src/services/audit.service.js (every entry carries actorId + actorRole); tests/userManagement.test.js, tests/m5-audit-viewer.test.js "resolves a real actor to a name and role"</t>
        </is>
      </c>
      <c r="I9" s="33" t="inlineStr">
        <is>
          <t>2026-09-25</t>
        </is>
      </c>
      <c r="J9" s="32" t="inlineStr">
        <is>
          <t>No generic shared staff accounts exist in the code; keep it that way operationally.</t>
        </is>
      </c>
    </row>
    <row r="10" ht="73.5" customHeight="1" s="22">
      <c r="A10" s="28" t="inlineStr">
        <is>
          <t>B1</t>
        </is>
      </c>
      <c r="B10" s="29" t="inlineStr">
        <is>
          <t>B · Application security</t>
        </is>
      </c>
      <c r="C10" s="30" t="inlineStr">
        <is>
          <t>Schema validation and sanitisation on all incoming data</t>
        </is>
      </c>
      <c r="D10" s="31" t="inlineStr">
        <is>
          <t>Web p10 · App p6</t>
        </is>
      </c>
      <c r="E10" s="31" t="inlineStr">
        <is>
          <t>Validate every request body, query and param with zod or joi at the route boundary. Strip unknown keys rather than passing them through. Reject on failure before any business logic runs.</t>
        </is>
      </c>
      <c r="F10" s="31" t="inlineStr">
        <is>
          <t>Post an extra unexpected field to a write endpoint — it must not reach the database.</t>
        </is>
      </c>
      <c r="G10" s="32" t="inlineStr">
        <is>
          <t>Done</t>
        </is>
      </c>
      <c r="H10" s="32" t="inlineStr">
        <is>
          <t>src/middleware/validate.js (zod on body, params and query at the route boundary; unknown keys stripped, .strict() on sensitive bodies); tests/validate.test.js "strips unknown keys", tests/security-adversarial.test.js "mass assignment"</t>
        </is>
      </c>
      <c r="I10" s="33" t="inlineStr">
        <is>
          <t>2026-09-25</t>
        </is>
      </c>
      <c r="J10" s="32" t="n"/>
    </row>
    <row r="11" ht="73.5" customHeight="1" s="22">
      <c r="A11" s="28" t="inlineStr">
        <is>
          <t>B2</t>
        </is>
      </c>
      <c r="B11" s="29" t="inlineStr">
        <is>
          <t>B · Application security</t>
        </is>
      </c>
      <c r="C11" s="30" t="inlineStr">
        <is>
          <t>Database query sanitisation to prevent injection through user input</t>
        </is>
      </c>
      <c r="D11" s="31" t="inlineStr">
        <is>
          <t>Web quotation, p10</t>
        </is>
      </c>
      <c r="E11" s="31" t="inlineStr">
        <is>
          <t>MongoDB operator injection is the real risk here: reject objects where a string is expected, so {"$gt":""} cannot be sent as a password. Use express-mongo-sanitize and never pass req.body straight into a query.</t>
        </is>
      </c>
      <c r="F11" s="31" t="inlineStr">
        <is>
          <t>Attempt a login with the password field set to {"$gt":""} — must be rejected as invalid input.</t>
        </is>
      </c>
      <c r="G11" s="32" t="inlineStr">
        <is>
          <t>Done</t>
        </is>
      </c>
      <c r="H11" s="32" t="inlineStr">
        <is>
          <t>src/middleware/rejectMongoOperators.js ($-keys and dotted keys refused before any handler), zString helper in src/validators/helpers.js; tests/validate.test.js, tests/security-adversarial.test.js "an operator object as a password does not authenticate anyone", "prototype-pollution keys"</t>
        </is>
      </c>
      <c r="I11" s="33" t="inlineStr">
        <is>
          <t>2026-09-25</t>
        </is>
      </c>
      <c r="J11" s="32" t="n"/>
    </row>
    <row r="12" ht="73.5" customHeight="1" s="22">
      <c r="A12" s="28" t="inlineStr">
        <is>
          <t>B3</t>
        </is>
      </c>
      <c r="B12" s="29" t="inlineStr">
        <is>
          <t>B · Application security</t>
        </is>
      </c>
      <c r="C12" s="30" t="inlineStr">
        <is>
          <t>Output encoding and content-security headers to prevent script injection</t>
        </is>
      </c>
      <c r="D12" s="31" t="inlineStr">
        <is>
          <t>Web quotation, p10</t>
        </is>
      </c>
      <c r="E12" s="31" t="inlineStr">
        <is>
          <t>helmet with a Content-Security-Policy. React escapes by default — avoid dangerouslySetInnerHTML entirely, and sanitise any rich text with DOMPurify before rendering.</t>
        </is>
      </c>
      <c r="F12" s="31" t="inlineStr">
        <is>
          <t>Save a product name containing a script tag and open the product page — it must render as text.</t>
        </is>
      </c>
      <c r="G12" s="32" t="inlineStr">
        <is>
          <t>Done</t>
        </is>
      </c>
      <c r="H12" s="32" t="inlineStr">
        <is>
          <t>src/app.js (helmet with a Content-Security-Policy), web/vercel.json (CSP + security headers on the web); no dangerouslySetInnerHTML anywhere in web/src or app/src; tests/security-controls.test.js "helmet headers are present"</t>
        </is>
      </c>
      <c r="I12" s="33" t="inlineStr">
        <is>
          <t>2026-09-25</t>
        </is>
      </c>
      <c r="J12" s="32" t="inlineStr">
        <is>
          <t>React escapes user content by default.</t>
        </is>
      </c>
    </row>
    <row r="13" ht="73.5" customHeight="1" s="22">
      <c r="A13" s="28" t="inlineStr">
        <is>
          <t>B4</t>
        </is>
      </c>
      <c r="B13" s="29" t="inlineStr">
        <is>
          <t>B · Application security</t>
        </is>
      </c>
      <c r="C13" s="30" t="inlineStr">
        <is>
          <t>Cross-site request forgery protection</t>
        </is>
      </c>
      <c r="D13" s="31" t="inlineStr">
        <is>
          <t>Web quotation, p10</t>
        </is>
      </c>
      <c r="E13" s="31" t="inlineStr">
        <is>
          <t>SameSite=Strict, HttpOnly, Secure cookies. If any state-changing route uses cookie auth, add a CSRF token (csurf or double-submit). Bearer-token-only routes are not exposed to CSRF.</t>
        </is>
      </c>
      <c r="F13" s="31" t="inlineStr">
        <is>
          <t>Submit a state-changing request from a different origin — must be rejected.</t>
        </is>
      </c>
      <c r="G13" s="32" t="inlineStr">
        <is>
          <t>Done</t>
        </is>
      </c>
      <c r="H13" s="32" t="inlineStr">
        <is>
          <t>Access tokens travel in the Authorization header, not a cookie. The only cookie-authenticated routes (refresh, logout) require a web-client header; tests/a2-refresh-cookie.test.js "SameSite=None CSRF guard" (cookie-borne refresh/logout without the header is refused)</t>
        </is>
      </c>
      <c r="I13" s="33" t="inlineStr">
        <is>
          <t>2026-09-25</t>
        </is>
      </c>
      <c r="J13" s="32" t="inlineStr">
        <is>
          <t>Refresh cookie (src/utils/refreshCookie.js): httpOnly, SameSite=Lax, Secure in production, scoped to /auth.</t>
        </is>
      </c>
    </row>
    <row r="14" ht="73.5" customHeight="1" s="22">
      <c r="A14" s="28" t="inlineStr">
        <is>
          <t>B5</t>
        </is>
      </c>
      <c r="B14" s="29" t="inlineStr">
        <is>
          <t>B · Application security</t>
        </is>
      </c>
      <c r="C14" s="30" t="inlineStr">
        <is>
          <t>Secure transport enforced end to end (HTTPS / HSTS) with hardened response headers</t>
        </is>
      </c>
      <c r="D14" s="31" t="inlineStr">
        <is>
          <t>Web p10 · App p6</t>
        </is>
      </c>
      <c r="E14" s="31" t="inlineStr">
        <is>
          <t>TLS terminated at nginx with a redirect from HTTP. helmet for HSTS (with preload), X-Content-Type-Options, frame-ancestors, Referrer-Policy and Permissions-Policy.</t>
        </is>
      </c>
      <c r="F14" s="31" t="inlineStr">
        <is>
          <t>Run the domain through SSL Labs and securityheaders.com — target A or better on both.</t>
        </is>
      </c>
      <c r="G14" s="32" t="inlineStr">
        <is>
          <t>In progress</t>
        </is>
      </c>
      <c r="H14" s="32" t="inlineStr">
        <is>
          <t>src/app.js helmet hsts {maxAge 15552000, includeSubDomains, preload}; web/vercel.json Strict-Transport-Security</t>
        </is>
      </c>
      <c r="I14" s="33" t="n"/>
      <c r="J14" s="32" t="inlineStr">
        <is>
          <t>Code side done. TLS termination + HTTP→HTTPS redirect on the VPS nginx is a deploy step (docs/Deployment.md); then run SSL Labs + securityheaders.com and record the grades here.</t>
        </is>
      </c>
    </row>
    <row r="15" ht="73.5" customHeight="1" s="22">
      <c r="A15" s="28" t="inlineStr">
        <is>
          <t>B6</t>
        </is>
      </c>
      <c r="B15" s="29" t="inlineStr">
        <is>
          <t>B · Application security</t>
        </is>
      </c>
      <c r="C15" s="30" t="inlineStr">
        <is>
          <t>File upload validation — type, size and content checks; uploads stored without execution rights</t>
        </is>
      </c>
      <c r="D15" s="31" t="inlineStr">
        <is>
          <t>Web p10 · App p6</t>
        </is>
      </c>
      <c r="E15" s="31" t="inlineStr">
        <is>
          <t>Allowlist extensions, verify the MIME type against magic bytes (file-type package), cap size. Upload to Cloudinary rather than the app server. Never serve uploads from a directory that can execute.</t>
        </is>
      </c>
      <c r="F15" s="31" t="inlineStr">
        <is>
          <t>Rename a .js file to .jpg and upload it — must be rejected on content inspection, not just extension.</t>
        </is>
      </c>
      <c r="G15" s="32" t="inlineStr">
        <is>
          <t>Done</t>
        </is>
      </c>
      <c r="H15" s="32" t="inlineStr">
        <is>
          <t>src/services/kyc.storage.service.js (verifyKycFile), src/services/image.storage.service.js, src/services/chatAttachment.storage.service.js (file-type magic-byte allowlist, size caps, empty-file refusal, PDF script / Office macro screen); tests/kycStorage.test.js "rejects a spoofed file", tests/chat-documents.test.js, tests/m2-image-refs.test.js</t>
        </is>
      </c>
      <c r="I15" s="33" t="inlineStr">
        <is>
          <t>2026-09-25</t>
        </is>
      </c>
      <c r="J15" s="32" t="inlineStr">
        <is>
          <t>Files are stored on Cloudinary, never on the app server; KYC and chat files are PRIVATE assets.</t>
        </is>
      </c>
    </row>
    <row r="16" ht="73.5" customHeight="1" s="22">
      <c r="A16" s="28" t="inlineStr">
        <is>
          <t>B7</t>
        </is>
      </c>
      <c r="B16" s="29" t="inlineStr">
        <is>
          <t>B · Application security</t>
        </is>
      </c>
      <c r="C16" s="30" t="inlineStr">
        <is>
          <t>Rate limiting on authentication, OTP, search and AI endpoints</t>
        </is>
      </c>
      <c r="D16" s="31" t="inlineStr">
        <is>
          <t>Web p10 · App p6</t>
        </is>
      </c>
      <c r="E16" s="31" t="inlineStr">
        <is>
          <t>express-rate-limit backed by Redis so limits hold across restarts and multiple processes. Tighter per-account limits on auth and OTP; per-org quota on the AI endpoints to cap GPT spend.</t>
        </is>
      </c>
      <c r="F16" s="31" t="inlineStr">
        <is>
          <t>Script 100 rapid requests at /login and at the AI endpoint — both must start returning 429.</t>
        </is>
      </c>
      <c r="G16" s="32" t="inlineStr">
        <is>
          <t>Done</t>
        </is>
      </c>
      <c r="H16" s="32" t="inlineStr">
        <is>
          <t>src/middleware/rateLimit.js (express-rate-limit + Redis store, REQUIRED in production): auth, OTP, refresh, search, AI, upload, enquiry, message, ticket, unblock limiters; tests/a2-refresh-cookie.test.js "refresh has its OWN budget", tests/m3-ai-quota.test.js</t>
        </is>
      </c>
      <c r="I16" s="33" t="inlineStr">
        <is>
          <t>2026-09-25</t>
        </is>
      </c>
      <c r="J16" s="32" t="inlineStr">
        <is>
          <t>Per-user keys on signed-in routes, per-IP on public ones.</t>
        </is>
      </c>
    </row>
    <row r="17" ht="73.5" customHeight="1" s="22">
      <c r="A17" s="28" t="inlineStr">
        <is>
          <t>B8</t>
        </is>
      </c>
      <c r="B17" s="29" t="inlineStr">
        <is>
          <t>B · Application security</t>
        </is>
      </c>
      <c r="C17" s="30" t="inlineStr">
        <is>
          <t>Generic error responses — no stack traces or internal detail exposed to users</t>
        </is>
      </c>
      <c r="D17" s="31" t="inlineStr">
        <is>
          <t>Web p10 · App p6</t>
        </is>
      </c>
      <c r="E17" s="31" t="inlineStr">
        <is>
          <t>One central error handler. Return a generic message plus a request id; log the full detail server-side against that id. Never return a Mongo error verbatim.</t>
        </is>
      </c>
      <c r="F17" s="31" t="inlineStr">
        <is>
          <t>Force a database error in staging — the API response must contain no stack trace, collection name or driver text.</t>
        </is>
      </c>
      <c r="G17" s="32" t="inlineStr">
        <is>
          <t>Done</t>
        </is>
      </c>
      <c r="H17" s="32" t="inlineStr">
        <is>
          <t>src/middleware/errorHandler.js (one central handler: generic message + requestId, full detail only in the server log / errorLogs); tests/security-controls.test.js "central error handler never leaks internals"</t>
        </is>
      </c>
      <c r="I17" s="33" t="inlineStr">
        <is>
          <t>2026-09-25</t>
        </is>
      </c>
      <c r="J17" s="32" t="n"/>
    </row>
    <row r="18" ht="73.5" customHeight="1" s="22">
      <c r="A18" s="28" t="inlineStr">
        <is>
          <t>B9</t>
        </is>
      </c>
      <c r="B18" s="29" t="inlineStr">
        <is>
          <t>B · Application security</t>
        </is>
      </c>
      <c r="C18" s="30" t="inlineStr">
        <is>
          <t>Dependency vulnerability scanning during development</t>
        </is>
      </c>
      <c r="D18" s="31" t="inlineStr">
        <is>
          <t>Web quotation, p10</t>
        </is>
      </c>
      <c r="E18" s="31" t="inlineStr">
        <is>
          <t>npm audit in CI plus Dependabot or Snyk on the repository. Fail the build on high and critical findings. Re-run before every milestone demo.</t>
        </is>
      </c>
      <c r="F18" s="31" t="inlineStr">
        <is>
          <t>Attach the latest scan output showing zero unresolved high or critical issues.</t>
        </is>
      </c>
      <c r="G18" s="32" t="inlineStr">
        <is>
          <t>In progress</t>
        </is>
      </c>
      <c r="H18" s="32" t="inlineStr">
        <is>
          <t>npm audit run 2026-09-25. Backend: 3 HIGH fixed the same day (multer 2.4.0, nodemailer 9.1.1, ip-address 10.7.2 — patch/minor, within existing ranges; full suite 1391/1391 green after). Now 0 high, 0 critical, 9 moderate. Web: 0 high, 2 moderate.</t>
        </is>
      </c>
      <c r="I18" s="33" t="n"/>
      <c r="J18" s="32" t="inlineStr">
        <is>
          <t>Still to do: add npm audit to CI + Dependabot (no CI pipeline exists in the repo yet). 8 of the 9 backend moderates come through firebase-admin and need a MAJOR upgrade (v14) — owner decision.</t>
        </is>
      </c>
    </row>
    <row r="19" ht="73.5" customHeight="1" s="22">
      <c r="A19" s="28" t="inlineStr">
        <is>
          <t>C1</t>
        </is>
      </c>
      <c r="B19" s="29" t="inlineStr">
        <is>
          <t>C · Payment &amp; escrow</t>
        </is>
      </c>
      <c r="C19" s="30" t="inlineStr">
        <is>
          <t>Payout beneficiaries registered with the provider and referenced by token, so bank details in the platform database are display-only and cannot redirect a payment</t>
        </is>
      </c>
      <c r="D19" s="31" t="inlineStr">
        <is>
          <t>Web quotation, p10</t>
        </is>
      </c>
      <c r="E19" s="31" t="inlineStr">
        <is>
          <t>Register the beneficiary with the gateway and store only the provider's token plus the masked last four digits. Every payout call sends the token, never an account number held by us.</t>
        </is>
      </c>
      <c r="F19" s="31" t="inlineStr">
        <is>
          <t>Change a bank account number directly in MongoDB and trigger a payout — the money must still go to the provider-registered account.</t>
        </is>
      </c>
      <c r="G19" s="32" t="inlineStr">
        <is>
          <t>N/A</t>
        </is>
      </c>
      <c r="H19" s="32" t="inlineStr">
        <is>
          <t>—</t>
        </is>
      </c>
      <c r="I19" s="33" t="inlineStr">
        <is>
          <t>2026-09-25</t>
        </is>
      </c>
      <c r="J19" s="32" t="inlineStr">
        <is>
          <t>Phase 2 (escrow, payouts, contracts) is not built in Phase 1 (docs/scope-of-work.md, month1-not-doing.md Bucket B). Nothing in Phase 1 moves money. NOTE: the quotation module stores exporter bank details for quotations (models/ExporterBankAccount.js: accountNumber select:false, only last4 ever returned, every change audited — tests/bank-accounts.test.js). No payout is ever sent from them. When Phase 2 builds payouts, this control must be implemented as written (provider token, not our stored number).</t>
        </is>
      </c>
    </row>
    <row r="20" ht="73.5" customHeight="1" s="22">
      <c r="A20" s="28" t="inlineStr">
        <is>
          <t>C2</t>
        </is>
      </c>
      <c r="B20" s="29" t="inlineStr">
        <is>
          <t>C · Payment &amp; escrow</t>
        </is>
      </c>
      <c r="C20" s="30" t="inlineStr">
        <is>
          <t>Release requires authorisation outside the platform — provider-side payout approval under the Client's control, protected by their own two-factor authentication</t>
        </is>
      </c>
      <c r="D20" s="31" t="inlineStr">
        <is>
          <t>Web quotation, p10</t>
        </is>
      </c>
      <c r="E20" s="31" t="inlineStr">
        <is>
          <t>The platform records intent and approval; the actual release is confirmed in the gateway dashboard by the Client's authorised user. No credential we hold can release funds on its own.</t>
        </is>
      </c>
      <c r="F20" s="31" t="inlineStr">
        <is>
          <t>Confirm with the Client that provider-side payout approval and 2FA are switched on, and record the confirmation in writing.</t>
        </is>
      </c>
      <c r="G20" s="32" t="inlineStr">
        <is>
          <t>N/A</t>
        </is>
      </c>
      <c r="H20" s="32" t="inlineStr">
        <is>
          <t>—</t>
        </is>
      </c>
      <c r="I20" s="33" t="inlineStr">
        <is>
          <t>2026-09-25</t>
        </is>
      </c>
      <c r="J20" s="32" t="inlineStr">
        <is>
          <t>Phase 2 (escrow, payouts, contracts) is not built in Phase 1 (docs/scope-of-work.md, month1-not-doing.md Bucket B). Nothing in Phase 1 moves money.</t>
        </is>
      </c>
    </row>
    <row r="21" ht="73.5" customHeight="1" s="22">
      <c r="A21" s="28" t="inlineStr">
        <is>
          <t>C3</t>
        </is>
      </c>
      <c r="B21" s="29" t="inlineStr">
        <is>
          <t>C · Payment &amp; escrow</t>
        </is>
      </c>
      <c r="C21" s="30" t="inlineStr">
        <is>
          <t>Idempotency keys on every payout and release call, preventing duplicate disbursement under repeated or concurrent requests</t>
        </is>
      </c>
      <c r="D21" s="31" t="inlineStr">
        <is>
          <t>Web quotation, p10</t>
        </is>
      </c>
      <c r="E21" s="31" t="inlineStr">
        <is>
          <t>Deterministic key per (dealId, milestoneId, attempt). Unique index in MongoDB so a duplicate insert fails, and send the same key as the provider's idempotency header.</t>
        </is>
      </c>
      <c r="F21" s="31" t="inlineStr">
        <is>
          <t>Fire the same release request 10 times concurrently — exactly one payout must be created.</t>
        </is>
      </c>
      <c r="G21" s="32" t="inlineStr">
        <is>
          <t>N/A</t>
        </is>
      </c>
      <c r="H21" s="32" t="inlineStr">
        <is>
          <t>—</t>
        </is>
      </c>
      <c r="I21" s="33" t="inlineStr">
        <is>
          <t>2026-09-25</t>
        </is>
      </c>
      <c r="J21" s="32" t="inlineStr">
        <is>
          <t>Phase 2 (escrow, payouts, contracts) is not built in Phase 1 (docs/scope-of-work.md, month1-not-doing.md Bucket B). Nothing in Phase 1 moves money.</t>
        </is>
      </c>
    </row>
    <row r="22" ht="73.5" customHeight="1" s="22">
      <c r="A22" s="28" t="inlineStr">
        <is>
          <t>C4</t>
        </is>
      </c>
      <c r="B22" s="29" t="inlineStr">
        <is>
          <t>C · Payment &amp; escrow</t>
        </is>
      </c>
      <c r="C22" s="30" t="inlineStr">
        <is>
          <t>Cryptographic signature verification on all payment provider webhooks — forged callbacks are rejected</t>
        </is>
      </c>
      <c r="D22" s="31" t="inlineStr">
        <is>
          <t>Web quotation, p10</t>
        </is>
      </c>
      <c r="E22" s="31" t="inlineStr">
        <is>
          <t>Verify the HMAC against the raw body before parsing JSON. Reject unknown event ids and anything outside a 5-minute timestamp window to stop replay.</t>
        </is>
      </c>
      <c r="F22" s="31" t="inlineStr">
        <is>
          <t>Post a webhook with a tampered body and a valid-looking signature — must be rejected and logged.</t>
        </is>
      </c>
      <c r="G22" s="32" t="inlineStr">
        <is>
          <t>N/A</t>
        </is>
      </c>
      <c r="H22" s="32" t="inlineStr">
        <is>
          <t>—</t>
        </is>
      </c>
      <c r="I22" s="33" t="inlineStr">
        <is>
          <t>2026-09-25</t>
        </is>
      </c>
      <c r="J22" s="32" t="inlineStr">
        <is>
          <t>Phase 2 (escrow, payouts, contracts) is not built in Phase 1 (docs/scope-of-work.md, month1-not-doing.md Bucket B). Nothing in Phase 1 moves money. No payment webhook exists.</t>
        </is>
      </c>
    </row>
    <row r="23" ht="73.5" customHeight="1" s="22">
      <c r="A23" s="28" t="inlineStr">
        <is>
          <t>C5</t>
        </is>
      </c>
      <c r="B23" s="29" t="inlineStr">
        <is>
          <t>C · Payment &amp; escrow</t>
        </is>
      </c>
      <c r="C23" s="30" t="inlineStr">
        <is>
          <t>Cooling-off period enforced after any change to a payout account before a release can proceed</t>
        </is>
      </c>
      <c r="D23" s="31" t="inlineStr">
        <is>
          <t>Web p10 · App p6</t>
        </is>
      </c>
      <c r="E23" s="31" t="inlineStr">
        <is>
          <t>Stamp the account record on change and block any release to it for a fixed window (48 hours suggested). Enforce server-side, not in the UI.</t>
        </is>
      </c>
      <c r="F23" s="31" t="inlineStr">
        <is>
          <t>Change a payout account and immediately attempt a release — must be blocked with the reason shown.</t>
        </is>
      </c>
      <c r="G23" s="32" t="inlineStr">
        <is>
          <t>N/A</t>
        </is>
      </c>
      <c r="H23" s="32" t="inlineStr">
        <is>
          <t>—</t>
        </is>
      </c>
      <c r="I23" s="33" t="inlineStr">
        <is>
          <t>2026-09-25</t>
        </is>
      </c>
      <c r="J23" s="32" t="inlineStr">
        <is>
          <t>Phase 2 (escrow, payouts, contracts) is not built in Phase 1 (docs/scope-of-work.md, month1-not-doing.md Bucket B). Nothing in Phase 1 moves money.</t>
        </is>
      </c>
    </row>
    <row r="24" ht="73.5" customHeight="1" s="22">
      <c r="A24" s="28" t="inlineStr">
        <is>
          <t>C6</t>
        </is>
      </c>
      <c r="B24" s="29" t="inlineStr">
        <is>
          <t>C · Payment &amp; escrow</t>
        </is>
      </c>
      <c r="C24" s="30" t="inlineStr">
        <is>
          <t>Out-of-band alerts on bank account change and on every payout, sent to previously registered contacts</t>
        </is>
      </c>
      <c r="D24" s="31" t="inlineStr">
        <is>
          <t>Web quotation, p10</t>
        </is>
      </c>
      <c r="E24" s="31" t="inlineStr">
        <is>
          <t>On change, notify the OLD email and mobile, not the new one. On every payout, notify the exporter and the Client's admin over email, SMS and WhatsApp.</t>
        </is>
      </c>
      <c r="F24" s="31" t="inlineStr">
        <is>
          <t>Change an account and confirm the alert lands on the previous contact details.</t>
        </is>
      </c>
      <c r="G24" s="32" t="inlineStr">
        <is>
          <t>N/A</t>
        </is>
      </c>
      <c r="H24" s="32" t="inlineStr">
        <is>
          <t>—</t>
        </is>
      </c>
      <c r="I24" s="33" t="inlineStr">
        <is>
          <t>2026-09-25</t>
        </is>
      </c>
      <c r="J24" s="32" t="inlineStr">
        <is>
          <t>Phase 2 (escrow, payouts, contracts) is not built in Phase 1 (docs/scope-of-work.md, month1-not-doing.md Bucket B). Nothing in Phase 1 moves money.</t>
        </is>
      </c>
    </row>
    <row r="25" ht="73.5" customHeight="1" s="22">
      <c r="A25" s="28" t="inlineStr">
        <is>
          <t>C7</t>
        </is>
      </c>
      <c r="B25" s="29" t="inlineStr">
        <is>
          <t>C · Payment &amp; escrow</t>
        </is>
      </c>
      <c r="C25" s="30" t="inlineStr">
        <is>
          <t>Beneficiary name verification against registered company records before an account is usable</t>
        </is>
      </c>
      <c r="D25" s="31" t="inlineStr">
        <is>
          <t>Web quotation, p10</t>
        </is>
      </c>
      <c r="E25" s="31" t="inlineStr">
        <is>
          <t>Penny-drop through the gateway, then fuzzy-match the returned account holder name against the registered company name. Block the account until it matches or an admin overrides with a logged reason.</t>
        </is>
      </c>
      <c r="F25" s="31" t="inlineStr">
        <is>
          <t>Add an account whose holder name differs from the company name — it must not become usable silently.</t>
        </is>
      </c>
      <c r="G25" s="32" t="inlineStr">
        <is>
          <t>N/A</t>
        </is>
      </c>
      <c r="H25" s="32" t="inlineStr">
        <is>
          <t>—</t>
        </is>
      </c>
      <c r="I25" s="33" t="inlineStr">
        <is>
          <t>2026-09-25</t>
        </is>
      </c>
      <c r="J25" s="32" t="inlineStr">
        <is>
          <t>Phase 2 (escrow, payouts, contracts) is not built in Phase 1 (docs/scope-of-work.md, month1-not-doing.md Bucket B). Nothing in Phase 1 moves money.</t>
        </is>
      </c>
    </row>
    <row r="26" ht="73.5" customHeight="1" s="22">
      <c r="A26" s="28" t="inlineStr">
        <is>
          <t>C8</t>
        </is>
      </c>
      <c r="B26" s="29" t="inlineStr">
        <is>
          <t>C · Payment &amp; escrow</t>
        </is>
      </c>
      <c r="C26" s="30" t="inlineStr">
        <is>
          <t>Maker–checker separation and a distinct approval permission for escrow release</t>
        </is>
      </c>
      <c r="D26" s="31" t="inlineStr">
        <is>
          <t>Web quotation, p7 &amp; p10</t>
        </is>
      </c>
      <c r="E26" s="31" t="inlineStr">
        <is>
          <t>escrow.approve as its own permission, assignable separately from every other employee permission. Code check: raisedBy must not equal approvedBy.</t>
        </is>
      </c>
      <c r="F26" s="31" t="inlineStr">
        <is>
          <t>Raise a release request and try to approve it with the same account — must be refused.</t>
        </is>
      </c>
      <c r="G26" s="32" t="inlineStr">
        <is>
          <t>N/A</t>
        </is>
      </c>
      <c r="H26" s="32" t="inlineStr">
        <is>
          <t>—</t>
        </is>
      </c>
      <c r="I26" s="33" t="inlineStr">
        <is>
          <t>2026-09-25</t>
        </is>
      </c>
      <c r="J26" s="32" t="inlineStr">
        <is>
          <t>Phase 2 (escrow, payouts, contracts) is not built in Phase 1 (docs/scope-of-work.md, month1-not-doing.md Bucket B). Nothing in Phase 1 moves money.</t>
        </is>
      </c>
    </row>
    <row r="27" ht="73.5" customHeight="1" s="22">
      <c r="A27" s="28" t="inlineStr">
        <is>
          <t>C9</t>
        </is>
      </c>
      <c r="B27" s="29" t="inlineStr">
        <is>
          <t>C · Payment &amp; escrow</t>
        </is>
      </c>
      <c r="C27" s="30" t="inlineStr">
        <is>
          <t>Per-transaction and daily release caps</t>
        </is>
      </c>
      <c r="D27" s="31" t="inlineStr">
        <is>
          <t>Web quotation, p10</t>
        </is>
      </c>
      <c r="E27" s="31" t="inlineStr">
        <is>
          <t>Configurable caps per exporter and platform-wide, checked server-side before the release call. Anything above the threshold requires mandatory approval regardless of other rules.</t>
        </is>
      </c>
      <c r="F27" s="31" t="inlineStr">
        <is>
          <t>Attempt a release above the cap — must be blocked or forced into the approval queue.</t>
        </is>
      </c>
      <c r="G27" s="32" t="inlineStr">
        <is>
          <t>N/A</t>
        </is>
      </c>
      <c r="H27" s="32" t="inlineStr">
        <is>
          <t>—</t>
        </is>
      </c>
      <c r="I27" s="33" t="inlineStr">
        <is>
          <t>2026-09-25</t>
        </is>
      </c>
      <c r="J27" s="32" t="inlineStr">
        <is>
          <t>Phase 2 (escrow, payouts, contracts) is not built in Phase 1 (docs/scope-of-work.md, month1-not-doing.md Bucket B). Nothing in Phase 1 moves money.</t>
        </is>
      </c>
    </row>
    <row r="28" ht="73.5" customHeight="1" s="22">
      <c r="A28" s="28" t="inlineStr">
        <is>
          <t>C10</t>
        </is>
      </c>
      <c r="B28" s="29" t="inlineStr">
        <is>
          <t>C · Payment &amp; escrow</t>
        </is>
      </c>
      <c r="C28" s="30" t="inlineStr">
        <is>
          <t>Append-only approval and transaction audit trail, written with insert-only database privileges</t>
        </is>
      </c>
      <c r="D28" s="31" t="inlineStr">
        <is>
          <t>Web quotation, p10</t>
        </is>
      </c>
      <c r="E28" s="31" t="inlineStr">
        <is>
          <t>Separate audit collection. The application's database user has insert and find only on it — no update, no delete. No API route exists that can modify an audit record.</t>
        </is>
      </c>
      <c r="F28" s="31" t="inlineStr">
        <is>
          <t>Try to update an audit document through the app's own database connection — must be denied by the database, not just the code.</t>
        </is>
      </c>
      <c r="G28" s="32" t="inlineStr">
        <is>
          <t>In progress</t>
        </is>
      </c>
      <c r="H28" s="32" t="inlineStr">
        <is>
          <t>App side: no endpoint, script or service updates or deletes an AuditLog row (src/services/audit.service.js is insert-only); tests/m5-audit-viewer.test.js "there is NO write, update or delete route"</t>
        </is>
      </c>
      <c r="I28" s="33" t="n"/>
      <c r="J28" s="32" t="inlineStr">
        <is>
          <t>Phase 1 already audits approvals, verifications, takedowns, permission changes. Remaining: the database-level insert+find-only grant for the app's MongoDB user on the audit collection — a deploy step on the self-hosted MongoDB (docs/Deployment.md). Same step closes E4.</t>
        </is>
      </c>
    </row>
    <row r="29" ht="73.5" customHeight="1" s="22">
      <c r="A29" s="28" t="inlineStr">
        <is>
          <t>C11</t>
        </is>
      </c>
      <c r="B29" s="29" t="inlineStr">
        <is>
          <t>C · Payment &amp; escrow</t>
        </is>
      </c>
      <c r="C29" s="30" t="inlineStr">
        <is>
          <t>Critical audit events mirrored to storage outside the application server</t>
        </is>
      </c>
      <c r="D29" s="31" t="inlineStr">
        <is>
          <t>Web quotation, p10</t>
        </is>
      </c>
      <c r="E29" s="31" t="inlineStr">
        <is>
          <t>Stream approvals, payouts and account changes to external storage (S3 or an equivalent) as they happen, so a compromised server cannot erase the record.</t>
        </is>
      </c>
      <c r="F29" s="31" t="inlineStr">
        <is>
          <t>Confirm today's approval events exist in the external store as well as the database.</t>
        </is>
      </c>
      <c r="G29" s="32" t="inlineStr">
        <is>
          <t>N/A</t>
        </is>
      </c>
      <c r="H29" s="32" t="inlineStr">
        <is>
          <t>—</t>
        </is>
      </c>
      <c r="I29" s="33" t="inlineStr">
        <is>
          <t>2026-09-25</t>
        </is>
      </c>
      <c r="J29" s="32" t="inlineStr">
        <is>
          <t>Phase 2 (escrow, payouts, contracts) is not built in Phase 1 (docs/scope-of-work.md, month1-not-doing.md Bucket B). Nothing in Phase 1 moves money. (Revisit with Phase 2: mirror approval/payout events off-server.)</t>
        </is>
      </c>
    </row>
    <row r="30" ht="73.5" customHeight="1" s="22">
      <c r="A30" s="28" t="inlineStr">
        <is>
          <t>C12</t>
        </is>
      </c>
      <c r="B30" s="29" t="inlineStr">
        <is>
          <t>C · Payment &amp; escrow</t>
        </is>
      </c>
      <c r="C30" s="30" t="inlineStr">
        <is>
          <t>Daily automated reconciliation against the provider ledger with mismatch alerting</t>
        </is>
      </c>
      <c r="D30" s="31" t="inlineStr">
        <is>
          <t>Web quotation, p7 &amp; p10</t>
        </is>
      </c>
      <c r="E30" s="31" t="inlineStr">
        <is>
          <t>Scheduled job comparing the platform escrow ledger with the provider's settlement report. Any mismatch raises an alert to the Client's admin and is recorded.</t>
        </is>
      </c>
      <c r="F30" s="31" t="inlineStr">
        <is>
          <t>Introduce a deliberate mismatch in staging — the job must flag it the next run.</t>
        </is>
      </c>
      <c r="G30" s="32" t="inlineStr">
        <is>
          <t>N/A</t>
        </is>
      </c>
      <c r="H30" s="32" t="inlineStr">
        <is>
          <t>—</t>
        </is>
      </c>
      <c r="I30" s="33" t="inlineStr">
        <is>
          <t>2026-09-25</t>
        </is>
      </c>
      <c r="J30" s="32" t="inlineStr">
        <is>
          <t>Phase 2 (escrow, payouts, contracts) is not built in Phase 1 (docs/scope-of-work.md, month1-not-doing.md Bucket B). Nothing in Phase 1 moves money.</t>
        </is>
      </c>
    </row>
    <row r="31" ht="73.5" customHeight="1" s="22">
      <c r="A31" s="28" t="inlineStr">
        <is>
          <t>D1</t>
        </is>
      </c>
      <c r="B31" s="29" t="inlineStr">
        <is>
          <t>D · Contract &amp; eSign integrity</t>
        </is>
      </c>
      <c r="C31" s="30" t="inlineStr">
        <is>
          <t>Document generated once, then version-locked and hash-sealed — both parties sign the identical artifact</t>
        </is>
      </c>
      <c r="D31" s="31" t="inlineStr">
        <is>
          <t>Web quotation, p8</t>
        </is>
      </c>
      <c r="E31" s="31" t="inlineStr">
        <is>
          <t>Store a SHA-256 of the generated PDF at creation. Verify the hash before presenting for signature and again after signing. Any mismatch blocks the flow.</t>
        </is>
      </c>
      <c r="F31" s="31" t="inlineStr">
        <is>
          <t>Alter a stored contract file byte-for-byte and open it — the system must detect the hash mismatch.</t>
        </is>
      </c>
      <c r="G31" s="32" t="inlineStr">
        <is>
          <t>N/A</t>
        </is>
      </c>
      <c r="H31" s="32" t="inlineStr">
        <is>
          <t>—</t>
        </is>
      </c>
      <c r="I31" s="33" t="inlineStr">
        <is>
          <t>2026-09-25</t>
        </is>
      </c>
      <c r="J31" s="32" t="inlineStr">
        <is>
          <t>Contracts / eSign are Phase 2 (Bucket B). The quotation PDF built in Phase 1 is not a contract and carries no signature.</t>
        </is>
      </c>
    </row>
    <row r="32" ht="73.5" customHeight="1" s="22">
      <c r="A32" s="28" t="inlineStr">
        <is>
          <t>D2</t>
        </is>
      </c>
      <c r="B32" s="29" t="inlineStr">
        <is>
          <t>D · Contract &amp; eSign integrity</t>
        </is>
      </c>
      <c r="C32" s="30" t="inlineStr">
        <is>
          <t>Any amendment creates a new version and invalidates prior signatures; all versions retained</t>
        </is>
      </c>
      <c r="D32" s="31" t="inlineStr">
        <is>
          <t>Web quotation, p8</t>
        </is>
      </c>
      <c r="E32" s="31" t="inlineStr">
        <is>
          <t>Versioned contract documents. Amending creates v2 and marks v1 superseded; signatures never carry across versions. Nothing is deleted.</t>
        </is>
      </c>
      <c r="F32" s="31" t="inlineStr">
        <is>
          <t>Amend a signed contract — the earlier signatures must show as invalidated and v1 must still be retrievable.</t>
        </is>
      </c>
      <c r="G32" s="32" t="inlineStr">
        <is>
          <t>N/A</t>
        </is>
      </c>
      <c r="H32" s="32" t="inlineStr">
        <is>
          <t>—</t>
        </is>
      </c>
      <c r="I32" s="33" t="inlineStr">
        <is>
          <t>2026-09-25</t>
        </is>
      </c>
      <c r="J32" s="32" t="inlineStr">
        <is>
          <t>Contracts / eSign are Phase 2 (Bucket B).</t>
        </is>
      </c>
    </row>
    <row r="33" ht="73.5" customHeight="1" s="22">
      <c r="A33" s="28" t="inlineStr">
        <is>
          <t>D3</t>
        </is>
      </c>
      <c r="B33" s="29" t="inlineStr">
        <is>
          <t>D · Contract &amp; eSign integrity</t>
        </is>
      </c>
      <c r="C33" s="30" t="inlineStr">
        <is>
          <t>Values snapshotted at generation, so later catalogue or price edits cannot alter a signed contract</t>
        </is>
      </c>
      <c r="D33" s="31" t="inlineStr">
        <is>
          <t>Web quotation, p8</t>
        </is>
      </c>
      <c r="E33" s="31" t="inlineStr">
        <is>
          <t>The contract stores its own copy of parties, goods, quantity, unit price, currency and total — never a live reference to the catalogue.</t>
        </is>
      </c>
      <c r="F33" s="31" t="inlineStr">
        <is>
          <t>Change the product price after a contract is generated and reopen the contract — the figures must not move.</t>
        </is>
      </c>
      <c r="G33" s="32" t="inlineStr">
        <is>
          <t>N/A</t>
        </is>
      </c>
      <c r="H33" s="32" t="inlineStr">
        <is>
          <t>—</t>
        </is>
      </c>
      <c r="I33" s="33" t="inlineStr">
        <is>
          <t>2026-09-25</t>
        </is>
      </c>
      <c r="J33" s="32" t="inlineStr">
        <is>
          <t>Contracts / eSign are Phase 2 (Bucket B). Note: quotations already snapshot their figures (tests/quotations.test.js, tests/quotation-totals.test.js).</t>
        </is>
      </c>
    </row>
    <row r="34" ht="73.5" customHeight="1" s="22">
      <c r="A34" s="28" t="inlineStr">
        <is>
          <t>D4</t>
        </is>
      </c>
      <c r="B34" s="29" t="inlineStr">
        <is>
          <t>D · Contract &amp; eSign integrity</t>
        </is>
      </c>
      <c r="C34" s="30" t="inlineStr">
        <is>
          <t>Expired quotations cannot generate a contract</t>
        </is>
      </c>
      <c r="D34" s="31" t="inlineStr">
        <is>
          <t>Web quotation, p8</t>
        </is>
      </c>
      <c r="E34" s="31" t="inlineStr">
        <is>
          <t>Server-side validity check at generation time, not a UI-only guard.</t>
        </is>
      </c>
      <c r="F34" s="31" t="inlineStr">
        <is>
          <t>Call the generate endpoint directly with an expired quotation id — must be refused.</t>
        </is>
      </c>
      <c r="G34" s="32" t="inlineStr">
        <is>
          <t>N/A</t>
        </is>
      </c>
      <c r="H34" s="32" t="inlineStr">
        <is>
          <t>—</t>
        </is>
      </c>
      <c r="I34" s="33" t="inlineStr">
        <is>
          <t>2026-09-25</t>
        </is>
      </c>
      <c r="J34" s="32" t="inlineStr">
        <is>
          <t>Contracts are Phase 2 — no contract generation exists.</t>
        </is>
      </c>
    </row>
    <row r="35" ht="73.5" customHeight="1" s="22">
      <c r="A35" s="28" t="inlineStr">
        <is>
          <t>D5</t>
        </is>
      </c>
      <c r="B35" s="29" t="inlineStr">
        <is>
          <t>D · Contract &amp; eSign integrity</t>
        </is>
      </c>
      <c r="C35" s="30" t="inlineStr">
        <is>
          <t>Signing OTP with expiry and attempt limits; signing links expire and can be re-issued</t>
        </is>
      </c>
      <c r="D35" s="31" t="inlineStr">
        <is>
          <t>Web quotation, p8</t>
        </is>
      </c>
      <c r="E35" s="31" t="inlineStr">
        <is>
          <t>Single-use signed token in the link with a short TTL. OTP sent to the registered signatory email only — never to an address supplied in the request.</t>
        </is>
      </c>
      <c r="F35" s="31" t="inlineStr">
        <is>
          <t>Reuse a signing link after signing, and after expiry — both must fail.</t>
        </is>
      </c>
      <c r="G35" s="32" t="inlineStr">
        <is>
          <t>N/A</t>
        </is>
      </c>
      <c r="H35" s="32" t="inlineStr">
        <is>
          <t>—</t>
        </is>
      </c>
      <c r="I35" s="33" t="inlineStr">
        <is>
          <t>2026-09-25</t>
        </is>
      </c>
      <c r="J35" s="32" t="inlineStr">
        <is>
          <t>Contracts / eSign are Phase 2 (Bucket B).</t>
        </is>
      </c>
    </row>
    <row r="36" ht="73.5" customHeight="1" s="22">
      <c r="A36" s="28" t="inlineStr">
        <is>
          <t>D6</t>
        </is>
      </c>
      <c r="B36" s="29" t="inlineStr">
        <is>
          <t>D · Contract &amp; eSign integrity</t>
        </is>
      </c>
      <c r="C36" s="30" t="inlineStr">
        <is>
          <t>Audit certificate appended to every executed contract — signatory email, timestamps, IP, verification method and document hash</t>
        </is>
      </c>
      <c r="D36" s="31" t="inlineStr">
        <is>
          <t>Web quotation, p8</t>
        </is>
      </c>
      <c r="E36" s="31" t="inlineStr">
        <is>
          <t>Generate the certificate page at completion and merge it into the executed PDF, then re-hash and store the final artifact.</t>
        </is>
      </c>
      <c r="F36" s="31" t="inlineStr">
        <is>
          <t>Open an executed contract and confirm the certificate page carries all five fields.</t>
        </is>
      </c>
      <c r="G36" s="32" t="inlineStr">
        <is>
          <t>N/A</t>
        </is>
      </c>
      <c r="H36" s="32" t="inlineStr">
        <is>
          <t>—</t>
        </is>
      </c>
      <c r="I36" s="33" t="inlineStr">
        <is>
          <t>2026-09-25</t>
        </is>
      </c>
      <c r="J36" s="32" t="inlineStr">
        <is>
          <t>Contracts / eSign are Phase 2 (Bucket B).</t>
        </is>
      </c>
    </row>
    <row r="37" ht="73.5" customHeight="1" s="22">
      <c r="A37" s="28" t="inlineStr">
        <is>
          <t>D7</t>
        </is>
      </c>
      <c r="B37" s="29" t="inlineStr">
        <is>
          <t>D · Contract &amp; eSign integrity</t>
        </is>
      </c>
      <c r="C37" s="30" t="inlineStr">
        <is>
          <t>Escrow funding unlocks only after both signatures are captured</t>
        </is>
      </c>
      <c r="D37" s="31" t="inlineStr">
        <is>
          <t>Web quotation, p8</t>
        </is>
      </c>
      <c r="E37" s="31" t="inlineStr">
        <is>
          <t>Server-side state check on the funding endpoint. The UI hiding the button is not sufficient.</t>
        </is>
      </c>
      <c r="F37" s="31" t="inlineStr">
        <is>
          <t>Call the funding endpoint directly on a half-signed deal — must be refused.</t>
        </is>
      </c>
      <c r="G37" s="32" t="inlineStr">
        <is>
          <t>N/A</t>
        </is>
      </c>
      <c r="H37" s="32" t="inlineStr">
        <is>
          <t>—</t>
        </is>
      </c>
      <c r="I37" s="33" t="inlineStr">
        <is>
          <t>2026-09-25</t>
        </is>
      </c>
      <c r="J37" s="32" t="inlineStr">
        <is>
          <t>Escrow funding is Phase 2 (Bucket B).</t>
        </is>
      </c>
    </row>
    <row r="38" ht="73.5" customHeight="1" s="22">
      <c r="A38" s="28" t="inlineStr">
        <is>
          <t>E1</t>
        </is>
      </c>
      <c r="B38" s="29" t="inlineStr">
        <is>
          <t>E · Data protection</t>
        </is>
      </c>
      <c r="C38" s="30" t="inlineStr">
        <is>
          <t>Encryption in transit throughout; encryption at rest for sensitive fields including payout details and KYC documents</t>
        </is>
      </c>
      <c r="D38" s="31" t="inlineStr">
        <is>
          <t>Web quotation, p11</t>
        </is>
      </c>
      <c r="E38" s="31" t="inlineStr">
        <is>
          <t>TLS everywhere. Field-level encryption for payout details and KYC identifiers, with the key held outside the database. Cloudinary storage for KYC documents, private mode.</t>
        </is>
      </c>
      <c r="F38" s="31" t="inlineStr">
        <is>
          <t>Read the raw collection — payout and KYC fields must be unreadable without the key.</t>
        </is>
      </c>
      <c r="G38" s="32" t="inlineStr">
        <is>
          <t>In progress</t>
        </is>
      </c>
      <c r="H38" s="32" t="inlineStr">
        <is>
          <t>In transit: HTTPS enforced by HSTS (B5) and the app blocks cleartext (G5). KYC files: Cloudinary PRIVATE assets. Bank account number: select:false, never returned (models/ExporterBankAccount.js).</t>
        </is>
      </c>
      <c r="I38" s="33" t="n"/>
      <c r="J38" s="32" t="inlineStr">
        <is>
          <t>OWNER DECISION 2026-09-25: field-level encryption of the bank account number is NOT being done (plan offered: AES-256-GCM, key in env; declined). The number stays plain text in MongoDB, protected by select:false, last4-only responses/audit and log redaction. Options still open: MongoDB encryption at rest on the VPS disk. TLS in transit is a deploy step (B5). Client sign-off recommended, as this is a quoted control.</t>
        </is>
      </c>
    </row>
    <row r="39" ht="73.5" customHeight="1" s="22">
      <c r="A39" s="28" t="inlineStr">
        <is>
          <t>E2</t>
        </is>
      </c>
      <c r="B39" s="29" t="inlineStr">
        <is>
          <t>E · Data protection</t>
        </is>
      </c>
      <c r="C39" s="30" t="inlineStr">
        <is>
          <t>Bank account numbers displayed masked; full reveal is a logged, permissioned action</t>
        </is>
      </c>
      <c r="D39" s="31" t="inlineStr">
        <is>
          <t>Web p11 · App p6</t>
        </is>
      </c>
      <c r="E39" s="31" t="inlineStr">
        <is>
          <t>Masked by default everywhere including the approval screen. Reveal is a separate permissioned endpoint that writes an audit entry naming the user, record and time.</t>
        </is>
      </c>
      <c r="F39" s="31" t="inlineStr">
        <is>
          <t>Reveal an account number and confirm the audit entry appears.</t>
        </is>
      </c>
      <c r="G39" s="32" t="inlineStr">
        <is>
          <t>Done</t>
        </is>
      </c>
      <c r="H39" s="32" t="inlineStr">
        <is>
          <t>models/ExporterBankAccount.js (only last4 in every list/response); tests/bank-accounts.test.js "never returns the account number", "audits every change with last4 and NEVER the account number"; mobile numbers masked (tests/mask.test.js)</t>
        </is>
      </c>
      <c r="I39" s="33" t="inlineStr">
        <is>
          <t>2026-09-25</t>
        </is>
      </c>
      <c r="J39" s="32" t="inlineStr">
        <is>
          <t>There is no full-reveal action at all in Phase 1 — stricter than the control. Payout-account masking returns with Phase 2.</t>
        </is>
      </c>
    </row>
    <row r="40" ht="73.5" customHeight="1" s="22">
      <c r="A40" s="28" t="inlineStr">
        <is>
          <t>E3</t>
        </is>
      </c>
      <c r="B40" s="29" t="inlineStr">
        <is>
          <t>E · Data protection</t>
        </is>
      </c>
      <c r="C40" s="30" t="inlineStr">
        <is>
          <t>Documents stored with signed, expiring access links rather than public URLs</t>
        </is>
      </c>
      <c r="D40" s="31" t="inlineStr">
        <is>
          <t>Web quotation, p11</t>
        </is>
      </c>
      <c r="E40" s="31" t="inlineStr">
        <is>
          <t>Cloudinary signed delivery URLs with a short TTL, generated per request after an authorisation check. No document reachable by guessing a URL.</t>
        </is>
      </c>
      <c r="F40" s="31" t="inlineStr">
        <is>
          <t>Copy a document URL, wait past its TTL, and open it in a private window — must fail.</t>
        </is>
      </c>
      <c r="G40" s="32" t="inlineStr">
        <is>
          <t>Done</t>
        </is>
      </c>
      <c r="H40" s="32" t="inlineStr">
        <is>
          <t>src/services/kyc.storage.service.js (Cloudinary type:private, randomised public_id, 120 s signed URLs minted only after an authorisation check); chat attachments use the same private pattern (src/services/chatAttachment.storage.service.js); tests/kycStorage.test.js "mints a SHORT-LIVED signed url", tests/chat-documents.test.js</t>
        </is>
      </c>
      <c r="I40" s="33" t="inlineStr">
        <is>
          <t>2026-09-25</t>
        </is>
      </c>
      <c r="J40" s="32" t="n"/>
    </row>
    <row r="41" ht="73.5" customHeight="1" s="22">
      <c r="A41" s="28" t="inlineStr">
        <is>
          <t>E4</t>
        </is>
      </c>
      <c r="B41" s="29" t="inlineStr">
        <is>
          <t>E · Data protection</t>
        </is>
      </c>
      <c r="C41" s="30" t="inlineStr">
        <is>
          <t>Least-privilege database roles — the application cannot modify or delete audit and approval history</t>
        </is>
      </c>
      <c r="D41" s="31" t="inlineStr">
        <is>
          <t>Web quotation, p11</t>
        </is>
      </c>
      <c r="E41" s="31" t="inlineStr">
        <is>
          <t>Two database users: the application user without update/delete on audit collections, and a separate maintenance user used only by an administrator.</t>
        </is>
      </c>
      <c r="F41" s="31" t="inlineStr">
        <is>
          <t>Attempt a delete on the audit collection with the application's credentials — must be denied.</t>
        </is>
      </c>
      <c r="G41" s="32" t="inlineStr">
        <is>
          <t>Not started</t>
        </is>
      </c>
      <c r="H41" s="32" t="inlineStr">
        <is>
          <t>Documented in docs/Deployment.md (app DB user: insert + find only on audit collections).</t>
        </is>
      </c>
      <c r="I41" s="33" t="n"/>
      <c r="J41" s="32" t="inlineStr">
        <is>
          <t>Deploy step on the self-hosted production MongoDB: create the least-privilege app user, then try a delete on auditlogs with its credentials and record the refusal here.</t>
        </is>
      </c>
    </row>
    <row r="42" ht="73.5" customHeight="1" s="22">
      <c r="A42" s="28" t="inlineStr">
        <is>
          <t>E5</t>
        </is>
      </c>
      <c r="B42" s="29" t="inlineStr">
        <is>
          <t>E · Data protection</t>
        </is>
      </c>
      <c r="C42" s="30" t="inlineStr">
        <is>
          <t>No production data used in development or testing environments</t>
        </is>
      </c>
      <c r="D42" s="31" t="inlineStr">
        <is>
          <t>Web quotation, p11</t>
        </is>
      </c>
      <c r="E42" s="31" t="inlineStr">
        <is>
          <t>Seeded or anonymised fixtures only. No production dump ever restored to staging or a local machine.</t>
        </is>
      </c>
      <c r="F42" s="31" t="inlineStr">
        <is>
          <t>Confirm the staging database contains no real buyer, exporter or KYC records.</t>
        </is>
      </c>
      <c r="G42" s="32" t="inlineStr">
        <is>
          <t>In progress</t>
        </is>
      </c>
      <c r="H42" s="32" t="inlineStr">
        <is>
          <t>Production starts on a fresh, empty database (owner, 2026-09-25); dev/test use test fixtures and throwaway accounts only.</t>
        </is>
      </c>
      <c r="I42" s="33" t="n"/>
      <c r="J42" s="32" t="inlineStr">
        <is>
          <t>Confirm at deploy that staging holds no real buyer/exporter/KYC data, then mark Done.</t>
        </is>
      </c>
    </row>
    <row r="43" ht="73.5" customHeight="1" s="22">
      <c r="A43" s="28" t="inlineStr">
        <is>
          <t>E6</t>
        </is>
      </c>
      <c r="B43" s="29" t="inlineStr">
        <is>
          <t>E · Data protection</t>
        </is>
      </c>
      <c r="C43" s="30" t="inlineStr">
        <is>
          <t>Credentials and API keys held outside the codebase and never committed to version control</t>
        </is>
      </c>
      <c r="D43" s="31" t="inlineStr">
        <is>
          <t>Web quotation, p11</t>
        </is>
      </c>
      <c r="E43" s="31" t="inlineStr">
        <is>
          <t>.env excluded by .gitignore from the first commit. Secrets in the VPS environment or a secret manager. Scan the full git history for anything already leaked, and rotate whatever is found.</t>
        </is>
      </c>
      <c r="F43" s="31" t="inlineStr">
        <is>
          <t>Run gitleaks or trufflehog over the entire history — zero findings, or rotated and documented.</t>
        </is>
      </c>
      <c r="G43" s="32" t="inlineStr">
        <is>
          <t>In progress</t>
        </is>
      </c>
      <c r="H43" s="32" t="inlineStr">
        <is>
          <t>.gitignore excludes every .env (root, backend, web, app); no secrets in source. .env is not tracked today.</t>
        </is>
      </c>
      <c r="I43" s="33" t="n"/>
      <c r="J43" s="32" t="inlineStr">
        <is>
          <t>A backend .env with DEV-ONLY values was committed on 2026-07-31 (a486611) and removed later (77f7208). OWNER 2026-09-25: that .env is the developer's own dev file; production uses a separate, never-committed .env, so no production credential was exposed and no rotation is required for launch. History rewrite prepared (file purged from every commit, code identical); the owner runs the force-push. Remaining: run gitleaks/trufflehog over the full history before handover and record the result here.</t>
        </is>
      </c>
    </row>
    <row r="44" ht="73.5" customHeight="1" s="22">
      <c r="A44" s="28" t="inlineStr">
        <is>
          <t>F1</t>
        </is>
      </c>
      <c r="B44" s="29" t="inlineStr">
        <is>
          <t>F · Infrastructure &amp; operations</t>
        </is>
      </c>
      <c r="C44" s="30" t="inlineStr">
        <is>
          <t>Separate staging and production environments</t>
        </is>
      </c>
      <c r="D44" s="31" t="inlineStr">
        <is>
          <t>Web quotation, p11</t>
        </is>
      </c>
      <c r="E44" s="31" t="inlineStr">
        <is>
          <t>Distinct database, distinct API keys, distinct subdomain. Staging is never pointed at live payment credentials.</t>
        </is>
      </c>
      <c r="F44" s="31" t="inlineStr">
        <is>
          <t>Confirm the two environments share no credential and no database.</t>
        </is>
      </c>
      <c r="G44" s="32" t="inlineStr">
        <is>
          <t>Not started</t>
        </is>
      </c>
      <c r="H44" s="32" t="inlineStr">
        <is>
          <t>—</t>
        </is>
      </c>
      <c r="I44" s="33" t="n"/>
      <c r="J44" s="32" t="inlineStr">
        <is>
          <t>Deploy step: separate staging and production (own database, own keys, own subdomain).</t>
        </is>
      </c>
    </row>
    <row r="45" ht="73.5" customHeight="1" s="22">
      <c r="A45" s="28" t="inlineStr">
        <is>
          <t>F2</t>
        </is>
      </c>
      <c r="B45" s="29" t="inlineStr">
        <is>
          <t>F · Infrastructure &amp; operations</t>
        </is>
      </c>
      <c r="C45" s="30" t="inlineStr">
        <is>
          <t>Managed database with network-level access restriction, recommended and configured</t>
        </is>
      </c>
      <c r="D45" s="31" t="inlineStr">
        <is>
          <t>Web quotation, p11</t>
        </is>
      </c>
      <c r="E45" s="31" t="inlineStr">
        <is>
          <t>MongoDB Atlas with an IP allowlist limited to the application server, or VPC peering. Never 0.0.0.0/0. Database not reachable from the public internet.</t>
        </is>
      </c>
      <c r="F45" s="31" t="inlineStr">
        <is>
          <t>Attempt a connection from an unlisted IP — must be refused.</t>
        </is>
      </c>
      <c r="G45" s="32" t="inlineStr">
        <is>
          <t>Not started</t>
        </is>
      </c>
      <c r="H45" s="32" t="inlineStr">
        <is>
          <t>docs/Deployment.md (net.bindIp 127.0.0.1, firewall blocks 27017)</t>
        </is>
      </c>
      <c r="I45" s="33" t="n"/>
      <c r="J45" s="32" t="inlineStr">
        <is>
          <t>Production MongoDB is SELF-HOSTED on the VPS, not Atlas (§A26), so the control is met by bindIp + firewall rather than an Atlas IP allowlist. Verify at deploy with a connection attempt from outside.</t>
        </is>
      </c>
    </row>
    <row r="46" ht="73.5" customHeight="1" s="22">
      <c r="A46" s="28" t="inlineStr">
        <is>
          <t>F3</t>
        </is>
      </c>
      <c r="B46" s="29" t="inlineStr">
        <is>
          <t>F · Infrastructure &amp; operations</t>
        </is>
      </c>
      <c r="C46" s="30" t="inlineStr">
        <is>
          <t>Database and payment credentials scoped to the application server only</t>
        </is>
      </c>
      <c r="D46" s="31" t="inlineStr">
        <is>
          <t>Web quotation, p11</t>
        </is>
      </c>
      <c r="E46" s="31" t="inlineStr">
        <is>
          <t>No developer laptop and no other host holds production credentials. Local development uses its own database.</t>
        </is>
      </c>
      <c r="F46" s="31" t="inlineStr">
        <is>
          <t>Confirm no production secret exists in any local .env or shared document.</t>
        </is>
      </c>
      <c r="G46" s="32" t="inlineStr">
        <is>
          <t>Not started</t>
        </is>
      </c>
      <c r="H46" s="32" t="inlineStr">
        <is>
          <t>—</t>
        </is>
      </c>
      <c r="I46" s="33" t="n"/>
      <c r="J46" s="32" t="inlineStr">
        <is>
          <t>Deploy/handover: production credentials live only on the VPS; local development uses the dev database.</t>
        </is>
      </c>
    </row>
    <row r="47" ht="73.5" customHeight="1" s="22">
      <c r="A47" s="28" t="inlineStr">
        <is>
          <t>F4</t>
        </is>
      </c>
      <c r="B47" s="29" t="inlineStr">
        <is>
          <t>F · Infrastructure &amp; operations</t>
        </is>
      </c>
      <c r="C47" s="30" t="inlineStr">
        <is>
          <t>Automated backup schedule configured, with a documented restore procedure</t>
        </is>
      </c>
      <c r="D47" s="31" t="inlineStr">
        <is>
          <t>Web quotation, p11</t>
        </is>
      </c>
      <c r="E47" s="31" t="inlineStr">
        <is>
          <t>Daily automated backups with a defined retention period, stored off the application server. Write the restore runbook and test it once before go-live.</t>
        </is>
      </c>
      <c r="F47" s="31" t="inlineStr">
        <is>
          <t>Perform a real restore into staging from a backup and record the date it was done.</t>
        </is>
      </c>
      <c r="G47" s="32" t="inlineStr">
        <is>
          <t>Not started</t>
        </is>
      </c>
      <c r="H47" s="32" t="inlineStr">
        <is>
          <t>—</t>
        </is>
      </c>
      <c r="I47" s="33" t="n"/>
      <c r="J47" s="32" t="inlineStr">
        <is>
          <t>Deploy step: daily automated MongoDB backups off the server + a real restore into staging, dated here.</t>
        </is>
      </c>
    </row>
    <row r="48" ht="73.5" customHeight="1" s="22">
      <c r="A48" s="28" t="inlineStr">
        <is>
          <t>F5</t>
        </is>
      </c>
      <c r="B48" s="29" t="inlineStr">
        <is>
          <t>F · Infrastructure &amp; operations</t>
        </is>
      </c>
      <c r="C48" s="30" t="inlineStr">
        <is>
          <t>Application and access logging with retention and time synchronisation aligned to CERT-In directions</t>
        </is>
      </c>
      <c r="D48" s="31" t="inlineStr">
        <is>
          <t>Web quotation, p11</t>
        </is>
      </c>
      <c r="E48" s="31" t="inlineStr">
        <is>
          <t>NTP-synchronised clocks, ISO-8601 timestamps with timezone, and 180-day log retention held within India. Log authentication, authorisation failures, payouts and admin actions.</t>
        </is>
      </c>
      <c r="F48" s="31" t="inlineStr">
        <is>
          <t>Confirm NTP is active, retention is configured, and sample logs carry consistent timestamps.</t>
        </is>
      </c>
      <c r="G48" s="32" t="inlineStr">
        <is>
          <t>In progress</t>
        </is>
      </c>
      <c r="H48" s="32" t="inlineStr">
        <is>
          <t>src/utils/logger.js (pino, ISO timestamps, sensitive paths redacted); errorLogs kept 90 days (models/ErrorLog.js TTL); append-only AuditLog kept indefinitely</t>
        </is>
      </c>
      <c r="I48" s="33" t="n"/>
      <c r="J48" s="32" t="inlineStr">
        <is>
          <t>Remaining for CERT-In: 180-day retention for application/access logs on the VPS (log rotation config) and NTP enabled. The 90-day error-log TTL is an internal diagnostics table, not the access log.</t>
        </is>
      </c>
    </row>
    <row r="49" ht="73.5" customHeight="1" s="22">
      <c r="A49" s="28" t="inlineStr">
        <is>
          <t>F6</t>
        </is>
      </c>
      <c r="B49" s="29" t="inlineStr">
        <is>
          <t>F · Infrastructure &amp; operations</t>
        </is>
      </c>
      <c r="C49" s="30" t="inlineStr">
        <is>
          <t>Live payment credentials entered by the Client, not held by NxtGen Digitals</t>
        </is>
      </c>
      <c r="D49" s="31" t="inlineStr">
        <is>
          <t>Web quotation, p11</t>
        </is>
      </c>
      <c r="E49" s="31" t="inlineStr">
        <is>
          <t>The Client enters production gateway keys themselves. We work against sandbox keys throughout. Record in writing that live keys were never shared with us.</t>
        </is>
      </c>
      <c r="F49" s="31" t="inlineStr">
        <is>
          <t>Written confirmation from the Client, kept on file.</t>
        </is>
      </c>
      <c r="G49" s="32" t="inlineStr">
        <is>
          <t>N/A</t>
        </is>
      </c>
      <c r="H49" s="32" t="inlineStr">
        <is>
          <t>—</t>
        </is>
      </c>
      <c r="I49" s="33" t="inlineStr">
        <is>
          <t>2026-09-25</t>
        </is>
      </c>
      <c r="J49" s="32" t="inlineStr">
        <is>
          <t>No payment gateway in Phase 1 (Phase 2).</t>
        </is>
      </c>
    </row>
    <row r="50" ht="73.5" customHeight="1" s="22">
      <c r="A50" s="28" t="inlineStr">
        <is>
          <t>F7</t>
        </is>
      </c>
      <c r="B50" s="29" t="inlineStr">
        <is>
          <t>F · Infrastructure &amp; operations</t>
        </is>
      </c>
      <c r="C50" s="30" t="inlineStr">
        <is>
          <t>All production credentials transferred and rotated by the Client at handover</t>
        </is>
      </c>
      <c r="D50" s="31" t="inlineStr">
        <is>
          <t>Web quotation, p11 · Annexure A</t>
        </is>
      </c>
      <c r="E50" s="31" t="inlineStr">
        <is>
          <t>Handover checklist covering database, gateway, Cloudinary, WhatsApp BSP, OpenAI, VPS, domain, store accounts and signing keys. Client rotates each one and signs the checklist.</t>
        </is>
      </c>
      <c r="F50" s="31" t="inlineStr">
        <is>
          <t>Signed handover checklist with the rotation date against every item.</t>
        </is>
      </c>
      <c r="G50" s="32" t="inlineStr">
        <is>
          <t>Not started</t>
        </is>
      </c>
      <c r="H50" s="32" t="inlineStr">
        <is>
          <t>—</t>
        </is>
      </c>
      <c r="I50" s="33" t="n"/>
      <c r="J50" s="32" t="inlineStr">
        <is>
          <t>At handover: signed checklist — database, Cloudinary, OpenAI, SMS/email provider, Firebase, VPS, domain — each rotated by the Client, with dates. (No payment gateway or WhatsApp BSP in Phase 1.)</t>
        </is>
      </c>
    </row>
    <row r="51" ht="73.5" customHeight="1" s="22">
      <c r="A51" s="28" t="inlineStr">
        <is>
          <t>F8</t>
        </is>
      </c>
      <c r="B51" s="29" t="inlineStr">
        <is>
          <t>F · Infrastructure &amp; operations</t>
        </is>
      </c>
      <c r="C51" s="30" t="inlineStr">
        <is>
          <t>Post-handover maintenance performed under scoped, least-privilege access, granted for a defined window and rotated afterwards</t>
        </is>
      </c>
      <c r="D51" s="31" t="inlineStr">
        <is>
          <t>Web quotation, p11</t>
        </is>
      </c>
      <c r="E51" s="31" t="inlineStr">
        <is>
          <t>No standing production access after handover. Access requested per task, time-boxed, and rotated by the Client when the window closes.</t>
        </is>
      </c>
      <c r="F51" s="31" t="inlineStr">
        <is>
          <t>Access request and revocation recorded for each maintenance visit.</t>
        </is>
      </c>
      <c r="G51" s="32" t="inlineStr">
        <is>
          <t>Not started</t>
        </is>
      </c>
      <c r="H51" s="32" t="inlineStr">
        <is>
          <t>—</t>
        </is>
      </c>
      <c r="I51" s="33" t="n"/>
      <c r="J51" s="32" t="inlineStr">
        <is>
          <t>Post-handover process: access requested per task, time-boxed, revoked, logged.</t>
        </is>
      </c>
    </row>
    <row r="52" ht="73.5" customHeight="1" s="22">
      <c r="A52" s="28" t="inlineStr">
        <is>
          <t>G1</t>
        </is>
      </c>
      <c r="B52" s="29" t="inlineStr">
        <is>
          <t>G · Mobile app security</t>
        </is>
      </c>
      <c r="C52" s="30" t="inlineStr">
        <is>
          <t>Tokens and credentials stored in the platform secure keystore (Android Keystore / iOS Keychain), never in plain storage</t>
        </is>
      </c>
      <c r="D52" s="31" t="inlineStr">
        <is>
          <t>App quotation, p6</t>
        </is>
      </c>
      <c r="E52" s="31" t="inlineStr">
        <is>
          <t>expo-secure-store for tokens and any credential. Never AsyncStorage, never Redux persisted to disk, never a plain file.</t>
        </is>
      </c>
      <c r="F52" s="31" t="inlineStr">
        <is>
          <t>Inspect app storage on a rooted or jailbroken test device — no token in readable form.</t>
        </is>
      </c>
      <c r="G52" s="32" t="inlineStr">
        <is>
          <t>Done</t>
        </is>
      </c>
      <c r="H52" s="32" t="inlineStr">
        <is>
          <t>app/src/api/tokenStore.js + app/src/utils/secureStorage.js (expo-secure-store); no token in AsyncStorage</t>
        </is>
      </c>
      <c r="I52" s="33" t="inlineStr">
        <is>
          <t>2026-09-25</t>
        </is>
      </c>
      <c r="J52" s="32" t="inlineStr">
        <is>
          <t>Needs a device check (rooted/jailbroken inspection) before store release.</t>
        </is>
      </c>
    </row>
    <row r="53" ht="73.5" customHeight="1" s="22">
      <c r="A53" s="28" t="inlineStr">
        <is>
          <t>G2</t>
        </is>
      </c>
      <c r="B53" s="29" t="inlineStr">
        <is>
          <t>G · Mobile app security</t>
        </is>
      </c>
      <c r="C53" s="30" t="inlineStr">
        <is>
          <t>Optional biometric / device unlock for app re-entry</t>
        </is>
      </c>
      <c r="D53" s="31" t="inlineStr">
        <is>
          <t>App quotation, p6</t>
        </is>
      </c>
      <c r="E53" s="31" t="inlineStr">
        <is>
          <t>expo-local-authentication, user-toggleable in settings. Biometrics gate re-entry only — never replace server-side authentication.</t>
        </is>
      </c>
      <c r="F53" s="31" t="inlineStr">
        <is>
          <t>Enable it, background the app, reopen — the prompt must appear.</t>
        </is>
      </c>
      <c r="G53" s="32" t="inlineStr">
        <is>
          <t>Not started</t>
        </is>
      </c>
      <c r="H53" s="32" t="inlineStr">
        <is>
          <t>expo-local-authentication is installed (app/package.json); the re-entry gate (design screen 17) is not built</t>
        </is>
      </c>
      <c r="I53" s="33" t="n"/>
      <c r="J53" s="32" t="inlineStr">
        <is>
          <t>Deliberately no toggle until the gate exists (app/src/screens/ProfileScreen.jsx note, owner 2026-08-05). This is a quoted, optional feature still to build.</t>
        </is>
      </c>
    </row>
    <row r="54" ht="73.5" customHeight="1" s="22">
      <c r="A54" s="28" t="inlineStr">
        <is>
          <t>G3</t>
        </is>
      </c>
      <c r="B54" s="29" t="inlineStr">
        <is>
          <t>G · Mobile app security</t>
        </is>
      </c>
      <c r="C54" s="30" t="inlineStr">
        <is>
          <t>No sensitive data written to device logs or crash reports</t>
        </is>
      </c>
      <c r="D54" s="31" t="inlineStr">
        <is>
          <t>App quotation, p6</t>
        </is>
      </c>
      <c r="E54" s="31" t="inlineStr">
        <is>
          <t>Strip tokens, OTPs, bank details and PII before any Sentry or console output. Disable verbose logging in release builds.</t>
        </is>
      </c>
      <c r="F54" s="31" t="inlineStr">
        <is>
          <t>Trigger a crash in a release build and inspect the report for leaked values.</t>
        </is>
      </c>
      <c r="G54" s="32" t="inlineStr">
        <is>
          <t>Done</t>
        </is>
      </c>
      <c r="H54" s="32" t="inlineStr">
        <is>
          <t>app/src/utils/logger.js (debug/info compile out of release builds via __DEV__; no token/OTP/password logged); backend logger redacts sensitive paths (src/utils/logger.js)</t>
        </is>
      </c>
      <c r="I54" s="33" t="inlineStr">
        <is>
          <t>2026-09-25</t>
        </is>
      </c>
      <c r="J54" s="32" t="inlineStr">
        <is>
          <t>No crash-reporting SDK (e.g. Sentry) is installed, so there is no third-party crash report to leak into.</t>
        </is>
      </c>
    </row>
    <row r="55" ht="73.5" customHeight="1" s="22">
      <c r="A55" s="28" t="inlineStr">
        <is>
          <t>G4</t>
        </is>
      </c>
      <c r="B55" s="29" t="inlineStr">
        <is>
          <t>G · Mobile app security</t>
        </is>
      </c>
      <c r="C55" s="30" t="inlineStr">
        <is>
          <t>Screenshot restriction on contract and payout screens</t>
        </is>
      </c>
      <c r="D55" s="31" t="inlineStr">
        <is>
          <t>App quotation, p6</t>
        </is>
      </c>
      <c r="E55" s="31" t="inlineStr">
        <is>
          <t>FLAG_SECURE on Android for those screens; an overlay or blur on iOS when the app enters the background.</t>
        </is>
      </c>
      <c r="F55" s="31" t="inlineStr">
        <is>
          <t>Attempt a screenshot on the contract screen on both platforms.</t>
        </is>
      </c>
      <c r="G55" s="32" t="inlineStr">
        <is>
          <t>N/A</t>
        </is>
      </c>
      <c r="H55" s="32" t="inlineStr">
        <is>
          <t>—</t>
        </is>
      </c>
      <c r="I55" s="33" t="inlineStr">
        <is>
          <t>2026-09-25</t>
        </is>
      </c>
      <c r="J55" s="32" t="inlineStr">
        <is>
          <t>Contract and payout screens do not exist in Phase 1 (Phase 2).</t>
        </is>
      </c>
    </row>
    <row r="56" ht="73.5" customHeight="1" s="22">
      <c r="A56" s="28" t="inlineStr">
        <is>
          <t>G5</t>
        </is>
      </c>
      <c r="B56" s="29" t="inlineStr">
        <is>
          <t>G · Mobile app security</t>
        </is>
      </c>
      <c r="C56" s="30" t="inlineStr">
        <is>
          <t>Secure transport enforced end to end (HTTPS)</t>
        </is>
      </c>
      <c r="D56" s="31" t="inlineStr">
        <is>
          <t>App quotation, p6</t>
        </is>
      </c>
      <c r="E56" s="31" t="inlineStr">
        <is>
          <t>No cleartext traffic: App Transport Security on iOS, network security config on Android. Consider certificate pinning for payment-related calls.</t>
        </is>
      </c>
      <c r="F56" s="31" t="inlineStr">
        <is>
          <t>Run the app through an intercepting proxy — traffic must fail rather than fall back to plain HTTP.</t>
        </is>
      </c>
      <c r="G56" s="32" t="inlineStr">
        <is>
          <t>Done</t>
        </is>
      </c>
      <c r="H56" s="32" t="inlineStr">
        <is>
          <t>app/app.config.js: iOS NSAllowsArbitraryLoads false, Android usesCleartextTraffic false; app/src/config/env.js refuses a non-https API URL in any release build (http only for a local dev build)</t>
        </is>
      </c>
      <c r="I56" s="33" t="inlineStr">
        <is>
          <t>2026-09-25</t>
        </is>
      </c>
      <c r="J56" s="32" t="inlineStr">
        <is>
          <t>Confirm with an intercepting proxy on a release build before store upload.</t>
        </is>
      </c>
    </row>
    <row r="57" ht="73.5" customHeight="1" s="22">
      <c r="A57" s="28" t="inlineStr">
        <is>
          <t>G6</t>
        </is>
      </c>
      <c r="B57" s="29" t="inlineStr">
        <is>
          <t>G · Mobile app security</t>
        </is>
      </c>
      <c r="C57" s="30" t="inlineStr">
        <is>
          <t>Role-based access enforced on the server for every request — the app never decides its own permissions</t>
        </is>
      </c>
      <c r="D57" s="31" t="inlineStr">
        <is>
          <t>App quotation, p6</t>
        </is>
      </c>
      <c r="E57" s="31" t="inlineStr">
        <is>
          <t>The app renders from server-supplied permissions but every endpoint re-checks. Never trust a role claim held in app state.</t>
        </is>
      </c>
      <c r="F57" s="31" t="inlineStr">
        <is>
          <t>Patch the app build to claim the exporter role as a buyer account — the server must still refuse.</t>
        </is>
      </c>
      <c r="G57" s="32" t="inlineStr">
        <is>
          <t>Done</t>
        </is>
      </c>
      <c r="H57" s="32" t="inlineStr">
        <is>
          <t>Same server-side RBAC as A5/A6 — every endpoint re-checks role, permission and ownership regardless of client; tests/security-adversarial.test.js "privilege escalation", "a self-declared role in the signup body does not grant it"</t>
        </is>
      </c>
      <c r="I57" s="33" t="inlineStr">
        <is>
          <t>2026-09-25</t>
        </is>
      </c>
      <c r="J57" s="32" t="n"/>
    </row>
    <row r="58" ht="73.5" customHeight="1" s="22">
      <c r="A58" s="28" t="inlineStr">
        <is>
          <t>G7</t>
        </is>
      </c>
      <c r="B58" s="29" t="inlineStr">
        <is>
          <t>G · Mobile app security</t>
        </is>
      </c>
      <c r="C58" s="30" t="inlineStr">
        <is>
          <t>No payment release capability exists in the app; approval is a web-only function under the Client's control</t>
        </is>
      </c>
      <c r="D58" s="31" t="inlineStr">
        <is>
          <t>App quotation, p6</t>
        </is>
      </c>
      <c r="E58" s="31" t="inlineStr">
        <is>
          <t>No release or approval endpoint is reachable with a mobile client token. Enforce server-side by client type, not by hiding the screen.</t>
        </is>
      </c>
      <c r="F58" s="31" t="inlineStr">
        <is>
          <t>Call the release endpoint with a mobile token — must be refused.</t>
        </is>
      </c>
      <c r="G58" s="32" t="inlineStr">
        <is>
          <t>N/A</t>
        </is>
      </c>
      <c r="H58" s="32" t="inlineStr">
        <is>
          <t>—</t>
        </is>
      </c>
      <c r="I58" s="33" t="inlineStr">
        <is>
          <t>2026-09-25</t>
        </is>
      </c>
      <c r="J58" s="32" t="inlineStr">
        <is>
          <t>No release/approval endpoint exists at all in Phase 1 (escrow is Phase 2). The rule is recorded in CLAUDE.md rule 6 for Phase 2.</t>
        </is>
      </c>
    </row>
    <row r="59" ht="73.5" customHeight="1" s="22">
      <c r="A59" s="28" t="inlineStr">
        <is>
          <t>G8</t>
        </is>
      </c>
      <c r="B59" s="29" t="inlineStr">
        <is>
          <t>G · Mobile app security</t>
        </is>
      </c>
      <c r="C59" s="30" t="inlineStr">
        <is>
          <t>Payout account changes made from the app follow the same verification, cooling-off and alerting rules as the web platform</t>
        </is>
      </c>
      <c r="D59" s="31" t="inlineStr">
        <is>
          <t>App quotation, p6</t>
        </is>
      </c>
      <c r="E59" s="31" t="inlineStr">
        <is>
          <t>The same server-side rules apply regardless of the client. There is no mobile-specific shortcut.</t>
        </is>
      </c>
      <c r="F59" s="31" t="inlineStr">
        <is>
          <t>Change a payout account from the app and confirm cooling-off and the out-of-band alert both fire.</t>
        </is>
      </c>
      <c r="G59" s="32" t="inlineStr">
        <is>
          <t>N/A</t>
        </is>
      </c>
      <c r="H59" s="32" t="inlineStr">
        <is>
          <t>—</t>
        </is>
      </c>
      <c r="I59" s="33" t="inlineStr">
        <is>
          <t>2026-09-25</t>
        </is>
      </c>
      <c r="J59" s="32" t="inlineStr">
        <is>
          <t>Payout accounts are Phase 2.</t>
        </is>
      </c>
    </row>
  </sheetData>
  <autoFilter ref="A1:J59"/>
  <dataValidations count="1">
    <dataValidation sqref="G2:G59" showDropDown="0" showInputMessage="0" showErrorMessage="0" allowBlank="0" type="list" errorStyle="stop" operator="between">
      <formula1>"Not started,In progress,Done,N/A"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1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21" min="1" max="1"/>
    <col width="10" customWidth="1" style="21" min="2" max="3"/>
    <col width="13" customWidth="1" style="21" min="4" max="5"/>
    <col width="8" customWidth="1" style="21" min="6" max="6"/>
    <col width="13" customWidth="1" style="21" min="7" max="7"/>
  </cols>
  <sheetData>
    <row r="1" ht="18.55" customHeight="1" s="22">
      <c r="A1" s="34" t="inlineStr">
        <is>
          <t>Security control coverage</t>
        </is>
      </c>
    </row>
    <row r="2" ht="15" customHeight="1" s="22">
      <c r="A2" s="35" t="inlineStr">
        <is>
          <t>Counts update automatically from the Controls sheet.</t>
        </is>
      </c>
    </row>
    <row r="4" ht="30" customHeight="1" s="22">
      <c r="A4" s="27" t="inlineStr">
        <is>
          <t>Category</t>
        </is>
      </c>
      <c r="B4" s="27" t="inlineStr">
        <is>
          <t>Total</t>
        </is>
      </c>
      <c r="C4" s="27" t="inlineStr">
        <is>
          <t>Done</t>
        </is>
      </c>
      <c r="D4" s="27" t="inlineStr">
        <is>
          <t>In progress</t>
        </is>
      </c>
      <c r="E4" s="27" t="inlineStr">
        <is>
          <t>Not started</t>
        </is>
      </c>
      <c r="F4" s="27" t="inlineStr">
        <is>
          <t>N/A</t>
        </is>
      </c>
      <c r="G4" s="27" t="inlineStr">
        <is>
          <t>% complete</t>
        </is>
      </c>
    </row>
    <row r="5" ht="15" customHeight="1" s="22">
      <c r="A5" s="36" t="inlineStr">
        <is>
          <t>A · Authentication &amp; access</t>
        </is>
      </c>
      <c r="B5" s="37">
        <f>COUNTIF(Controls!$B$2:$B$59,$A5)</f>
        <v/>
      </c>
      <c r="C5" s="37">
        <f>COUNTIFS(Controls!$B$2:$B$59,$A5,Controls!$G$2:$G$59,"Done")</f>
        <v/>
      </c>
      <c r="D5" s="37">
        <f>COUNTIFS(Controls!$B$2:$B$59,$A5,Controls!$G$2:$G$59,"In progress")</f>
        <v/>
      </c>
      <c r="E5" s="37">
        <f>COUNTIFS(Controls!$B$2:$B$59,$A5,Controls!$G$2:$G$59,"Not started")</f>
        <v/>
      </c>
      <c r="F5" s="37">
        <f>COUNTIFS(Controls!$B$2:$B$59,$A5,Controls!$G$2:$G$59,"N/A")</f>
        <v/>
      </c>
      <c r="G5" s="38">
        <f>IFERROR((C5+F5)/B5,0)</f>
        <v/>
      </c>
    </row>
    <row r="6" ht="15" customHeight="1" s="22">
      <c r="A6" s="36" t="inlineStr">
        <is>
          <t>B · Application security</t>
        </is>
      </c>
      <c r="B6" s="37">
        <f>COUNTIF(Controls!$B$2:$B$59,$A6)</f>
        <v/>
      </c>
      <c r="C6" s="37">
        <f>COUNTIFS(Controls!$B$2:$B$59,$A6,Controls!$G$2:$G$59,"Done")</f>
        <v/>
      </c>
      <c r="D6" s="37">
        <f>COUNTIFS(Controls!$B$2:$B$59,$A6,Controls!$G$2:$G$59,"In progress")</f>
        <v/>
      </c>
      <c r="E6" s="37">
        <f>COUNTIFS(Controls!$B$2:$B$59,$A6,Controls!$G$2:$G$59,"Not started")</f>
        <v/>
      </c>
      <c r="F6" s="37">
        <f>COUNTIFS(Controls!$B$2:$B$59,$A6,Controls!$G$2:$G$59,"N/A")</f>
        <v/>
      </c>
      <c r="G6" s="38">
        <f>IFERROR((C6+F6)/B6,0)</f>
        <v/>
      </c>
    </row>
    <row r="7" ht="15" customHeight="1" s="22">
      <c r="A7" s="36" t="inlineStr">
        <is>
          <t>C · Payment &amp; escrow</t>
        </is>
      </c>
      <c r="B7" s="37">
        <f>COUNTIF(Controls!$B$2:$B$59,$A7)</f>
        <v/>
      </c>
      <c r="C7" s="37">
        <f>COUNTIFS(Controls!$B$2:$B$59,$A7,Controls!$G$2:$G$59,"Done")</f>
        <v/>
      </c>
      <c r="D7" s="37">
        <f>COUNTIFS(Controls!$B$2:$B$59,$A7,Controls!$G$2:$G$59,"In progress")</f>
        <v/>
      </c>
      <c r="E7" s="37">
        <f>COUNTIFS(Controls!$B$2:$B$59,$A7,Controls!$G$2:$G$59,"Not started")</f>
        <v/>
      </c>
      <c r="F7" s="37">
        <f>COUNTIFS(Controls!$B$2:$B$59,$A7,Controls!$G$2:$G$59,"N/A")</f>
        <v/>
      </c>
      <c r="G7" s="38">
        <f>IFERROR((C7+F7)/B7,0)</f>
        <v/>
      </c>
    </row>
    <row r="8" ht="15" customHeight="1" s="22">
      <c r="A8" s="36" t="inlineStr">
        <is>
          <t>D · Contract &amp; eSign integrity</t>
        </is>
      </c>
      <c r="B8" s="37">
        <f>COUNTIF(Controls!$B$2:$B$59,$A8)</f>
        <v/>
      </c>
      <c r="C8" s="37">
        <f>COUNTIFS(Controls!$B$2:$B$59,$A8,Controls!$G$2:$G$59,"Done")</f>
        <v/>
      </c>
      <c r="D8" s="37">
        <f>COUNTIFS(Controls!$B$2:$B$59,$A8,Controls!$G$2:$G$59,"In progress")</f>
        <v/>
      </c>
      <c r="E8" s="37">
        <f>COUNTIFS(Controls!$B$2:$B$59,$A8,Controls!$G$2:$G$59,"Not started")</f>
        <v/>
      </c>
      <c r="F8" s="37">
        <f>COUNTIFS(Controls!$B$2:$B$59,$A8,Controls!$G$2:$G$59,"N/A")</f>
        <v/>
      </c>
      <c r="G8" s="38">
        <f>IFERROR((C8+F8)/B8,0)</f>
        <v/>
      </c>
    </row>
    <row r="9" ht="15" customHeight="1" s="22">
      <c r="A9" s="36" t="inlineStr">
        <is>
          <t>E · Data protection</t>
        </is>
      </c>
      <c r="B9" s="37">
        <f>COUNTIF(Controls!$B$2:$B$59,$A9)</f>
        <v/>
      </c>
      <c r="C9" s="37">
        <f>COUNTIFS(Controls!$B$2:$B$59,$A9,Controls!$G$2:$G$59,"Done")</f>
        <v/>
      </c>
      <c r="D9" s="37">
        <f>COUNTIFS(Controls!$B$2:$B$59,$A9,Controls!$G$2:$G$59,"In progress")</f>
        <v/>
      </c>
      <c r="E9" s="37">
        <f>COUNTIFS(Controls!$B$2:$B$59,$A9,Controls!$G$2:$G$59,"Not started")</f>
        <v/>
      </c>
      <c r="F9" s="37">
        <f>COUNTIFS(Controls!$B$2:$B$59,$A9,Controls!$G$2:$G$59,"N/A")</f>
        <v/>
      </c>
      <c r="G9" s="38">
        <f>IFERROR((C9+F9)/B9,0)</f>
        <v/>
      </c>
    </row>
    <row r="10" ht="15" customHeight="1" s="22">
      <c r="A10" s="36" t="inlineStr">
        <is>
          <t>F · Infrastructure &amp; operations</t>
        </is>
      </c>
      <c r="B10" s="37">
        <f>COUNTIF(Controls!$B$2:$B$59,$A10)</f>
        <v/>
      </c>
      <c r="C10" s="37">
        <f>COUNTIFS(Controls!$B$2:$B$59,$A10,Controls!$G$2:$G$59,"Done")</f>
        <v/>
      </c>
      <c r="D10" s="37">
        <f>COUNTIFS(Controls!$B$2:$B$59,$A10,Controls!$G$2:$G$59,"In progress")</f>
        <v/>
      </c>
      <c r="E10" s="37">
        <f>COUNTIFS(Controls!$B$2:$B$59,$A10,Controls!$G$2:$G$59,"Not started")</f>
        <v/>
      </c>
      <c r="F10" s="37">
        <f>COUNTIFS(Controls!$B$2:$B$59,$A10,Controls!$G$2:$G$59,"N/A")</f>
        <v/>
      </c>
      <c r="G10" s="38">
        <f>IFERROR((C10+F10)/B10,0)</f>
        <v/>
      </c>
    </row>
    <row r="11" ht="15" customHeight="1" s="22">
      <c r="A11" s="36" t="inlineStr">
        <is>
          <t>G · Mobile app security</t>
        </is>
      </c>
      <c r="B11" s="37">
        <f>COUNTIF(Controls!$B$2:$B$59,$A11)</f>
        <v/>
      </c>
      <c r="C11" s="37">
        <f>COUNTIFS(Controls!$B$2:$B$59,$A11,Controls!$G$2:$G$59,"Done")</f>
        <v/>
      </c>
      <c r="D11" s="37">
        <f>COUNTIFS(Controls!$B$2:$B$59,$A11,Controls!$G$2:$G$59,"In progress")</f>
        <v/>
      </c>
      <c r="E11" s="37">
        <f>COUNTIFS(Controls!$B$2:$B$59,$A11,Controls!$G$2:$G$59,"Not started")</f>
        <v/>
      </c>
      <c r="F11" s="37">
        <f>COUNTIFS(Controls!$B$2:$B$59,$A11,Controls!$G$2:$G$59,"N/A")</f>
        <v/>
      </c>
      <c r="G11" s="38">
        <f>IFERROR((C11+F11)/B11,0)</f>
        <v/>
      </c>
    </row>
    <row r="12" ht="15" customHeight="1" s="22">
      <c r="A12" s="39" t="inlineStr">
        <is>
          <t>TOTAL</t>
        </is>
      </c>
      <c r="B12" s="40">
        <f>SUM(B5:B11)</f>
        <v/>
      </c>
      <c r="C12" s="40">
        <f>SUM(C5:C11)</f>
        <v/>
      </c>
      <c r="D12" s="40">
        <f>SUM(D5:D11)</f>
        <v/>
      </c>
      <c r="E12" s="40">
        <f>SUM(E5:E11)</f>
        <v/>
      </c>
      <c r="F12" s="40">
        <f>SUM(F5:F11)</f>
        <v/>
      </c>
      <c r="G12" s="41">
        <f>IFERROR((C12+F12)/B12,0)</f>
        <v/>
      </c>
    </row>
    <row r="14" ht="15" customHeight="1" s="22">
      <c r="A14" s="42" t="inlineStr">
        <is>
          <t>Every control listed is committed to in the Rev 02 quotations (web pages 10–11 and 7–8, app page 6). Nothing here is optional scope.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2026-07-24T11:13:57Z</dcterms:created>
  <dcterms:modified xsi:type="dcterms:W3CDTF">2026-09-25T09:10:03Z</dcterms:modified>
  <cp:revision>0</cp:revision>
</cp:coreProperties>
</file>